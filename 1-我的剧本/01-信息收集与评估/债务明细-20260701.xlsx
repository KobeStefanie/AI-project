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<sst xmlns="http://schemas.openxmlformats.org/spreadsheetml/2006/main" count="193" uniqueCount="63">
  <si>
    <t>网贷</t>
  </si>
  <si>
    <t>个人</t>
  </si>
  <si>
    <t>合计数</t>
  </si>
  <si>
    <t>序号</t>
  </si>
  <si>
    <t>放款平台</t>
  </si>
  <si>
    <t>性质</t>
  </si>
  <si>
    <t>合作方</t>
  </si>
  <si>
    <t>初始本金</t>
  </si>
  <si>
    <t>放贷日期</t>
  </si>
  <si>
    <t>借款期限</t>
  </si>
  <si>
    <t>利率</t>
  </si>
  <si>
    <t>还款方式</t>
  </si>
  <si>
    <t>逾期日期</t>
  </si>
  <si>
    <t>剩余本金</t>
  </si>
  <si>
    <t>剩余利息</t>
  </si>
  <si>
    <t>担保费</t>
  </si>
  <si>
    <t>已还</t>
  </si>
  <si>
    <t>剩余</t>
  </si>
  <si>
    <t>逾期天数</t>
  </si>
  <si>
    <t>按年换算</t>
  </si>
  <si>
    <t>状态</t>
  </si>
  <si>
    <t>受让方</t>
  </si>
  <si>
    <t>备注1</t>
  </si>
  <si>
    <t>初次协商</t>
  </si>
  <si>
    <t>度小满</t>
  </si>
  <si>
    <t>民生银行</t>
  </si>
  <si>
    <t>等额本息</t>
  </si>
  <si>
    <t>平安青岛分行</t>
  </si>
  <si>
    <t>五矿信托</t>
  </si>
  <si>
    <t>已转让</t>
  </si>
  <si>
    <t>内蒙古宜捷冠信息科技有限公司</t>
  </si>
  <si>
    <t>众邦银行</t>
  </si>
  <si>
    <t>借呗</t>
  </si>
  <si>
    <t>重庆农商行</t>
  </si>
  <si>
    <t>先息后本</t>
  </si>
  <si>
    <t>网商贷</t>
  </si>
  <si>
    <t>浙江网商银行</t>
  </si>
  <si>
    <t>等额本金</t>
  </si>
  <si>
    <t>花呗</t>
  </si>
  <si>
    <t>未见合同</t>
  </si>
  <si>
    <t>小芽贷</t>
  </si>
  <si>
    <t>中邮</t>
  </si>
  <si>
    <t>京东</t>
  </si>
  <si>
    <t>中航信托</t>
  </si>
  <si>
    <t>厦门国际</t>
  </si>
  <si>
    <t>招联</t>
  </si>
  <si>
    <t>招联消费</t>
  </si>
  <si>
    <t>吉林省盛融资产管理有限责任公司</t>
  </si>
  <si>
    <t>还呗</t>
  </si>
  <si>
    <t>浦发银行</t>
  </si>
  <si>
    <t>青岛同盛益开信息科技有限公司</t>
  </si>
  <si>
    <t>按日计息，未见合同</t>
  </si>
  <si>
    <t>美团</t>
  </si>
  <si>
    <t>中信百信</t>
  </si>
  <si>
    <t>微粒贷</t>
  </si>
  <si>
    <t>前海+富滇</t>
  </si>
  <si>
    <t>按日计息</t>
  </si>
  <si>
    <t>招行</t>
  </si>
  <si>
    <t>信用卡</t>
  </si>
  <si>
    <t>招行信用卡</t>
  </si>
  <si>
    <t>邮储</t>
  </si>
  <si>
    <t>邮储信用卡</t>
  </si>
  <si>
    <t>网贷小计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</si>
</sst>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name val="宋体"/>
      <charset val="134"/>
    </font>
    <font>
      <sz val="9"/>
      <color theme="0"/>
      <name val="宋体"/>
      <charset val="134"/>
    </font>
    <font>
      <sz val="9"/>
      <color theme="6" tint="0.59999389629810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2" borderId="7" applyNumberFormat="0" applyAlignment="0" applyProtection="0">
      <alignment vertical="center"/>
    </xf>
    <xf numFmtId="0" fontId="13" fillId="13" borderId="8" applyNumberFormat="0" applyAlignment="0" applyProtection="0">
      <alignment vertical="center"/>
    </xf>
    <xf numFmtId="0" fontId="14" fillId="13" borderId="7" applyNumberFormat="0" applyAlignment="0" applyProtection="0">
      <alignment vertical="center"/>
    </xf>
    <xf numFmtId="0" fontId="15" fillId="14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14" fontId="1" fillId="10" borderId="1" xfId="0" applyNumberFormat="1" applyFont="1" applyFill="1" applyBorder="1" applyAlignment="1">
      <alignment horizontal="center" vertical="center"/>
    </xf>
    <xf numFmtId="10" fontId="1" fillId="10" borderId="1" xfId="0" applyNumberFormat="1" applyFont="1" applyFill="1" applyBorder="1" applyAlignment="1">
      <alignment horizontal="center" vertical="center"/>
    </xf>
    <xf numFmtId="43" fontId="1" fillId="10" borderId="1" xfId="0" applyNumberFormat="1" applyFont="1" applyFill="1" applyBorder="1" applyAlignment="1">
      <alignment horizontal="center" vertical="center"/>
    </xf>
    <xf numFmtId="14" fontId="2" fillId="9" borderId="1" xfId="0" applyNumberFormat="1" applyFont="1" applyFill="1" applyBorder="1" applyAlignment="1">
      <alignment horizontal="center" vertical="center"/>
    </xf>
    <xf numFmtId="10" fontId="2" fillId="9" borderId="1" xfId="0" applyNumberFormat="1" applyFont="1" applyFill="1" applyBorder="1" applyAlignment="1">
      <alignment horizontal="center" vertical="center"/>
    </xf>
    <xf numFmtId="43" fontId="2" fillId="9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0010;&#20154;&#31649;&#29702;\&#20010;&#20154;&#36134;&#21333;\&#20010;&#20154;&#36134;&#21153;-202607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时间管理"/>
      <sheetName val="预算-样式"/>
      <sheetName val="方案比对"/>
      <sheetName val="比对数据"/>
      <sheetName val="预算-年0"/>
      <sheetName val="预算-年A"/>
      <sheetName val="预算-年B"/>
      <sheetName val="预算-年C"/>
      <sheetName val="预算-年D"/>
      <sheetName val="预算-年5"/>
      <sheetName val="年复"/>
      <sheetName val="副细"/>
      <sheetName val="副业"/>
      <sheetName val="副投"/>
      <sheetName val="AI"/>
      <sheetName val="副财"/>
      <sheetName val="预算-月0"/>
      <sheetName val="实执-1"/>
      <sheetName val="反馈-3"/>
      <sheetName val="实预-4"/>
      <sheetName val="月目标"/>
      <sheetName val="计划0"/>
      <sheetName val="录入"/>
      <sheetName val="汇总"/>
      <sheetName val="明细"/>
      <sheetName val="弥勒"/>
      <sheetName val="2024"/>
      <sheetName val="2025"/>
      <sheetName val="2026"/>
      <sheetName val="新的开始"/>
      <sheetName val="小资"/>
      <sheetName val="恋销"/>
      <sheetName val="恋爱"/>
      <sheetName val="净资产动图"/>
      <sheetName val="经验"/>
      <sheetName val="网贷平台"/>
      <sheetName val="负债明细"/>
      <sheetName val="招行"/>
      <sheetName val="话费"/>
      <sheetName val="Sheet1"/>
      <sheetName val="合住"/>
      <sheetName val="财务管理"/>
      <sheetName val="投资2017"/>
      <sheetName val="社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M1" t="str">
            <v>明细</v>
          </cell>
        </row>
        <row r="1">
          <cell r="R1" t="str">
            <v>项目明细</v>
          </cell>
          <cell r="S1" t="str">
            <v>收支</v>
          </cell>
        </row>
        <row r="2">
          <cell r="M2" t="str">
            <v>网贷</v>
          </cell>
        </row>
        <row r="2">
          <cell r="S2">
            <v>-453197.49</v>
          </cell>
        </row>
        <row r="3">
          <cell r="M3" t="str">
            <v>副入</v>
          </cell>
        </row>
        <row r="3">
          <cell r="S3">
            <v>-10000</v>
          </cell>
        </row>
        <row r="4">
          <cell r="M4" t="str">
            <v>早餐</v>
          </cell>
        </row>
        <row r="4">
          <cell r="S4">
            <v>2</v>
          </cell>
        </row>
        <row r="5">
          <cell r="M5" t="str">
            <v>出行</v>
          </cell>
        </row>
        <row r="5">
          <cell r="S5">
            <v>1.8</v>
          </cell>
        </row>
        <row r="6">
          <cell r="M6" t="str">
            <v>出行</v>
          </cell>
        </row>
        <row r="6">
          <cell r="S6">
            <v>1.8</v>
          </cell>
        </row>
        <row r="7">
          <cell r="M7" t="str">
            <v>早餐</v>
          </cell>
        </row>
        <row r="7">
          <cell r="S7">
            <v>11</v>
          </cell>
        </row>
        <row r="8">
          <cell r="M8" t="str">
            <v>早餐</v>
          </cell>
        </row>
        <row r="8">
          <cell r="S8">
            <v>11</v>
          </cell>
        </row>
        <row r="9">
          <cell r="M9" t="str">
            <v>出行</v>
          </cell>
        </row>
        <row r="9">
          <cell r="S9">
            <v>1.8</v>
          </cell>
        </row>
        <row r="10">
          <cell r="M10" t="str">
            <v>出行</v>
          </cell>
        </row>
        <row r="10">
          <cell r="S10">
            <v>1.8</v>
          </cell>
        </row>
        <row r="11">
          <cell r="M11" t="str">
            <v>出行</v>
          </cell>
        </row>
        <row r="11">
          <cell r="S11">
            <v>1.8</v>
          </cell>
        </row>
        <row r="12">
          <cell r="M12" t="str">
            <v>早餐</v>
          </cell>
        </row>
        <row r="12">
          <cell r="S12">
            <v>22</v>
          </cell>
        </row>
        <row r="13">
          <cell r="M13" t="str">
            <v>出行</v>
          </cell>
        </row>
        <row r="13">
          <cell r="S13">
            <v>1.8</v>
          </cell>
        </row>
        <row r="14">
          <cell r="M14" t="str">
            <v>日用</v>
          </cell>
        </row>
        <row r="14">
          <cell r="S14">
            <v>7</v>
          </cell>
        </row>
        <row r="15">
          <cell r="M15" t="str">
            <v>早餐</v>
          </cell>
        </row>
        <row r="15">
          <cell r="S15">
            <v>11</v>
          </cell>
        </row>
        <row r="16">
          <cell r="M16" t="str">
            <v>出行</v>
          </cell>
        </row>
        <row r="16">
          <cell r="S16">
            <v>1.8</v>
          </cell>
        </row>
        <row r="17">
          <cell r="M17" t="str">
            <v>早餐</v>
          </cell>
        </row>
        <row r="17">
          <cell r="S17">
            <v>3</v>
          </cell>
        </row>
        <row r="18">
          <cell r="M18" t="str">
            <v>早餐</v>
          </cell>
        </row>
        <row r="18">
          <cell r="S18">
            <v>27</v>
          </cell>
        </row>
        <row r="19">
          <cell r="M19" t="str">
            <v>出行</v>
          </cell>
        </row>
        <row r="19">
          <cell r="S19">
            <v>1.8</v>
          </cell>
        </row>
        <row r="20">
          <cell r="M20" t="str">
            <v>出行</v>
          </cell>
        </row>
        <row r="20">
          <cell r="S20">
            <v>1.8</v>
          </cell>
        </row>
        <row r="21">
          <cell r="M21" t="str">
            <v>出行</v>
          </cell>
        </row>
        <row r="21">
          <cell r="S21">
            <v>3.6</v>
          </cell>
        </row>
        <row r="22">
          <cell r="M22" t="str">
            <v>早餐</v>
          </cell>
        </row>
        <row r="22">
          <cell r="S22">
            <v>15</v>
          </cell>
        </row>
        <row r="23">
          <cell r="M23" t="str">
            <v>早餐</v>
          </cell>
        </row>
        <row r="23">
          <cell r="S23">
            <v>3</v>
          </cell>
        </row>
        <row r="24">
          <cell r="M24" t="str">
            <v>出行</v>
          </cell>
        </row>
        <row r="24">
          <cell r="S24">
            <v>3.6</v>
          </cell>
        </row>
        <row r="25">
          <cell r="M25" t="str">
            <v>早餐</v>
          </cell>
        </row>
        <row r="25">
          <cell r="S25">
            <v>16</v>
          </cell>
        </row>
        <row r="26">
          <cell r="M26" t="str">
            <v>日用</v>
          </cell>
        </row>
        <row r="26">
          <cell r="S26">
            <v>8</v>
          </cell>
        </row>
        <row r="27">
          <cell r="M27" t="str">
            <v>早餐</v>
          </cell>
        </row>
        <row r="27">
          <cell r="S27">
            <v>10</v>
          </cell>
        </row>
        <row r="28">
          <cell r="M28" t="str">
            <v>出行</v>
          </cell>
        </row>
        <row r="28">
          <cell r="S28">
            <v>1.8</v>
          </cell>
        </row>
        <row r="29">
          <cell r="M29" t="str">
            <v>早餐</v>
          </cell>
        </row>
        <row r="29">
          <cell r="S29">
            <v>10.4</v>
          </cell>
        </row>
        <row r="30">
          <cell r="M30" t="str">
            <v>早餐</v>
          </cell>
        </row>
        <row r="30">
          <cell r="S30">
            <v>22</v>
          </cell>
        </row>
        <row r="31">
          <cell r="M31" t="str">
            <v>早餐</v>
          </cell>
        </row>
        <row r="31">
          <cell r="S31">
            <v>16</v>
          </cell>
        </row>
        <row r="32">
          <cell r="M32" t="str">
            <v>出行</v>
          </cell>
        </row>
        <row r="32">
          <cell r="S32">
            <v>2.7</v>
          </cell>
        </row>
        <row r="33">
          <cell r="M33" t="str">
            <v>早餐</v>
          </cell>
        </row>
        <row r="33">
          <cell r="S33">
            <v>6.5</v>
          </cell>
        </row>
        <row r="34">
          <cell r="M34" t="str">
            <v>午餐</v>
          </cell>
        </row>
        <row r="34">
          <cell r="S34">
            <v>15</v>
          </cell>
        </row>
        <row r="35">
          <cell r="M35" t="str">
            <v>日用</v>
          </cell>
        </row>
        <row r="35">
          <cell r="S35">
            <v>99</v>
          </cell>
        </row>
        <row r="36">
          <cell r="M36" t="str">
            <v>出行</v>
          </cell>
        </row>
        <row r="36">
          <cell r="S36">
            <v>16.78</v>
          </cell>
        </row>
        <row r="37">
          <cell r="M37" t="str">
            <v>房租</v>
          </cell>
        </row>
        <row r="37">
          <cell r="S37">
            <v>1300</v>
          </cell>
        </row>
        <row r="38">
          <cell r="M38" t="str">
            <v>保山</v>
          </cell>
        </row>
        <row r="38">
          <cell r="S38">
            <v>23</v>
          </cell>
        </row>
        <row r="39">
          <cell r="M39" t="str">
            <v>保山</v>
          </cell>
        </row>
        <row r="39">
          <cell r="S39">
            <v>36</v>
          </cell>
        </row>
        <row r="40">
          <cell r="M40" t="str">
            <v>保山</v>
          </cell>
        </row>
        <row r="40">
          <cell r="S40">
            <v>260</v>
          </cell>
        </row>
        <row r="41">
          <cell r="M41" t="str">
            <v>保山</v>
          </cell>
        </row>
        <row r="41">
          <cell r="S41">
            <v>47</v>
          </cell>
        </row>
        <row r="42">
          <cell r="M42" t="str">
            <v>保山</v>
          </cell>
        </row>
        <row r="42">
          <cell r="S42">
            <v>21.8</v>
          </cell>
        </row>
        <row r="43">
          <cell r="M43" t="str">
            <v>游戏</v>
          </cell>
        </row>
        <row r="43">
          <cell r="S43">
            <v>30</v>
          </cell>
        </row>
        <row r="44">
          <cell r="M44" t="str">
            <v>社交</v>
          </cell>
        </row>
        <row r="44">
          <cell r="S44">
            <v>-32.76</v>
          </cell>
        </row>
        <row r="45">
          <cell r="M45" t="str">
            <v>社交</v>
          </cell>
        </row>
        <row r="45">
          <cell r="S45">
            <v>-2.02</v>
          </cell>
        </row>
        <row r="46">
          <cell r="M46" t="str">
            <v>社交</v>
          </cell>
        </row>
        <row r="46">
          <cell r="S46">
            <v>-0.11</v>
          </cell>
        </row>
        <row r="47">
          <cell r="M47" t="str">
            <v>社交</v>
          </cell>
        </row>
        <row r="47">
          <cell r="S47">
            <v>-0.9</v>
          </cell>
        </row>
        <row r="48">
          <cell r="M48" t="str">
            <v>社交</v>
          </cell>
        </row>
        <row r="48">
          <cell r="S48">
            <v>-3.4</v>
          </cell>
        </row>
        <row r="49">
          <cell r="M49" t="str">
            <v>社交</v>
          </cell>
        </row>
        <row r="49">
          <cell r="S49">
            <v>-0.55</v>
          </cell>
        </row>
        <row r="50">
          <cell r="M50" t="str">
            <v>社交</v>
          </cell>
        </row>
        <row r="50">
          <cell r="S50">
            <v>100</v>
          </cell>
        </row>
        <row r="51">
          <cell r="M51" t="str">
            <v>社交</v>
          </cell>
        </row>
        <row r="51">
          <cell r="S51">
            <v>-2.5</v>
          </cell>
        </row>
        <row r="52">
          <cell r="M52" t="str">
            <v>社交</v>
          </cell>
        </row>
        <row r="52">
          <cell r="S52">
            <v>-24.12</v>
          </cell>
        </row>
        <row r="53">
          <cell r="M53" t="str">
            <v>社交</v>
          </cell>
        </row>
        <row r="53">
          <cell r="S53">
            <v>100</v>
          </cell>
        </row>
        <row r="54">
          <cell r="M54" t="str">
            <v>社交</v>
          </cell>
        </row>
        <row r="54">
          <cell r="S54">
            <v>-15.06</v>
          </cell>
        </row>
        <row r="55">
          <cell r="M55" t="str">
            <v>社交</v>
          </cell>
        </row>
        <row r="55">
          <cell r="S55">
            <v>-14.5</v>
          </cell>
        </row>
        <row r="56">
          <cell r="M56" t="str">
            <v>社交</v>
          </cell>
        </row>
        <row r="56">
          <cell r="S56">
            <v>100</v>
          </cell>
        </row>
        <row r="57">
          <cell r="M57" t="str">
            <v>社交</v>
          </cell>
        </row>
        <row r="57">
          <cell r="S57">
            <v>-33.89</v>
          </cell>
        </row>
        <row r="58">
          <cell r="M58" t="str">
            <v>社交</v>
          </cell>
        </row>
        <row r="58">
          <cell r="S58">
            <v>100</v>
          </cell>
        </row>
        <row r="59">
          <cell r="M59" t="str">
            <v>社交</v>
          </cell>
        </row>
        <row r="59">
          <cell r="S59">
            <v>-23.14</v>
          </cell>
        </row>
        <row r="60">
          <cell r="M60" t="str">
            <v>社交</v>
          </cell>
        </row>
        <row r="60">
          <cell r="S60">
            <v>-8.88</v>
          </cell>
        </row>
        <row r="61">
          <cell r="M61" t="str">
            <v>社交</v>
          </cell>
        </row>
        <row r="61">
          <cell r="S61">
            <v>-13.12</v>
          </cell>
        </row>
        <row r="62">
          <cell r="M62" t="str">
            <v>社交</v>
          </cell>
        </row>
        <row r="62">
          <cell r="S62">
            <v>-21.42</v>
          </cell>
        </row>
        <row r="63">
          <cell r="M63" t="str">
            <v>社交</v>
          </cell>
        </row>
        <row r="63">
          <cell r="S63">
            <v>-8.94</v>
          </cell>
        </row>
        <row r="64">
          <cell r="M64" t="str">
            <v>社交</v>
          </cell>
        </row>
        <row r="64">
          <cell r="S64">
            <v>-15.49</v>
          </cell>
        </row>
        <row r="65">
          <cell r="M65" t="str">
            <v>社交</v>
          </cell>
        </row>
        <row r="65">
          <cell r="S65">
            <v>-17.01</v>
          </cell>
        </row>
        <row r="66">
          <cell r="M66" t="str">
            <v>社交</v>
          </cell>
        </row>
        <row r="66">
          <cell r="S66">
            <v>-6.87</v>
          </cell>
        </row>
        <row r="67">
          <cell r="M67" t="str">
            <v>社交</v>
          </cell>
        </row>
        <row r="67">
          <cell r="S67">
            <v>-12.66</v>
          </cell>
        </row>
        <row r="68">
          <cell r="M68" t="str">
            <v>社交</v>
          </cell>
        </row>
        <row r="68">
          <cell r="S68">
            <v>-0.91</v>
          </cell>
        </row>
        <row r="69">
          <cell r="M69" t="str">
            <v>社交</v>
          </cell>
        </row>
        <row r="69">
          <cell r="S69">
            <v>-36.09</v>
          </cell>
        </row>
        <row r="70">
          <cell r="M70" t="str">
            <v>社交</v>
          </cell>
        </row>
        <row r="70">
          <cell r="S70">
            <v>88</v>
          </cell>
        </row>
        <row r="71">
          <cell r="M71" t="str">
            <v>社交</v>
          </cell>
        </row>
        <row r="71">
          <cell r="S71">
            <v>-50.4</v>
          </cell>
        </row>
        <row r="72">
          <cell r="M72" t="str">
            <v>社交</v>
          </cell>
        </row>
        <row r="72">
          <cell r="S72">
            <v>77</v>
          </cell>
        </row>
        <row r="73">
          <cell r="M73" t="str">
            <v>社交</v>
          </cell>
        </row>
        <row r="73">
          <cell r="S73">
            <v>-10.22</v>
          </cell>
        </row>
        <row r="74">
          <cell r="M74" t="str">
            <v>社交</v>
          </cell>
        </row>
        <row r="74">
          <cell r="S74">
            <v>-19.35</v>
          </cell>
        </row>
        <row r="75">
          <cell r="M75" t="str">
            <v>社交</v>
          </cell>
        </row>
        <row r="75">
          <cell r="S75">
            <v>99.99</v>
          </cell>
        </row>
        <row r="76">
          <cell r="M76" t="str">
            <v>社交</v>
          </cell>
        </row>
        <row r="76">
          <cell r="S76">
            <v>-5.07</v>
          </cell>
        </row>
        <row r="77">
          <cell r="M77" t="str">
            <v>社交</v>
          </cell>
        </row>
        <row r="77">
          <cell r="S77">
            <v>-9.95</v>
          </cell>
        </row>
        <row r="78">
          <cell r="M78" t="str">
            <v>社交</v>
          </cell>
        </row>
        <row r="78">
          <cell r="S78">
            <v>-12.83</v>
          </cell>
        </row>
        <row r="79">
          <cell r="M79" t="str">
            <v>社交</v>
          </cell>
        </row>
        <row r="79">
          <cell r="S79">
            <v>-100</v>
          </cell>
        </row>
        <row r="80">
          <cell r="M80" t="str">
            <v>社交</v>
          </cell>
        </row>
        <row r="80">
          <cell r="S80">
            <v>100</v>
          </cell>
        </row>
        <row r="81">
          <cell r="M81" t="str">
            <v>社交</v>
          </cell>
        </row>
        <row r="81">
          <cell r="S81">
            <v>-29.38</v>
          </cell>
        </row>
        <row r="82">
          <cell r="M82" t="str">
            <v>社交</v>
          </cell>
        </row>
        <row r="82">
          <cell r="S82">
            <v>-1.38</v>
          </cell>
        </row>
        <row r="83">
          <cell r="M83" t="str">
            <v>社交</v>
          </cell>
        </row>
        <row r="83">
          <cell r="S83">
            <v>-20.76</v>
          </cell>
        </row>
        <row r="84">
          <cell r="M84" t="str">
            <v>社交</v>
          </cell>
        </row>
        <row r="84">
          <cell r="S84">
            <v>-15</v>
          </cell>
        </row>
        <row r="85">
          <cell r="M85" t="str">
            <v>社交</v>
          </cell>
        </row>
        <row r="85">
          <cell r="S85">
            <v>-57.2</v>
          </cell>
        </row>
        <row r="86">
          <cell r="M86" t="str">
            <v>社交</v>
          </cell>
        </row>
        <row r="86">
          <cell r="S86">
            <v>-1.07</v>
          </cell>
        </row>
        <row r="87">
          <cell r="M87" t="str">
            <v>社交</v>
          </cell>
        </row>
        <row r="87">
          <cell r="S87">
            <v>200</v>
          </cell>
        </row>
        <row r="88">
          <cell r="M88" t="str">
            <v>社交</v>
          </cell>
        </row>
        <row r="88">
          <cell r="S88">
            <v>-5.36</v>
          </cell>
        </row>
        <row r="89">
          <cell r="M89" t="str">
            <v>会员</v>
          </cell>
        </row>
        <row r="89">
          <cell r="S89">
            <v>15</v>
          </cell>
        </row>
        <row r="90">
          <cell r="M90" t="str">
            <v>保山</v>
          </cell>
        </row>
        <row r="90">
          <cell r="S90">
            <v>53.9</v>
          </cell>
        </row>
        <row r="91">
          <cell r="M91" t="str">
            <v>保山</v>
          </cell>
        </row>
        <row r="91">
          <cell r="S91">
            <v>79.34</v>
          </cell>
        </row>
        <row r="92">
          <cell r="M92" t="str">
            <v>保山</v>
          </cell>
        </row>
        <row r="92">
          <cell r="S92">
            <v>23.91</v>
          </cell>
        </row>
        <row r="93">
          <cell r="M93" t="str">
            <v>保山</v>
          </cell>
        </row>
        <row r="93">
          <cell r="S93">
            <v>5.5</v>
          </cell>
        </row>
        <row r="94">
          <cell r="M94" t="str">
            <v>保山</v>
          </cell>
        </row>
        <row r="94">
          <cell r="S94">
            <v>5</v>
          </cell>
        </row>
        <row r="95">
          <cell r="M95" t="str">
            <v>保山</v>
          </cell>
        </row>
        <row r="95">
          <cell r="S95">
            <v>20</v>
          </cell>
        </row>
        <row r="96">
          <cell r="M96" t="str">
            <v>保山</v>
          </cell>
        </row>
        <row r="96">
          <cell r="S96">
            <v>10</v>
          </cell>
        </row>
        <row r="97">
          <cell r="M97" t="str">
            <v>保山</v>
          </cell>
        </row>
        <row r="97">
          <cell r="S97">
            <v>5</v>
          </cell>
        </row>
        <row r="98">
          <cell r="M98" t="str">
            <v>保山</v>
          </cell>
        </row>
        <row r="98">
          <cell r="S98">
            <v>5</v>
          </cell>
        </row>
        <row r="99">
          <cell r="M99" t="str">
            <v>保山</v>
          </cell>
        </row>
        <row r="99">
          <cell r="S99">
            <v>12.73</v>
          </cell>
        </row>
        <row r="100">
          <cell r="M100" t="str">
            <v>保山</v>
          </cell>
        </row>
        <row r="100">
          <cell r="S100">
            <v>11.28</v>
          </cell>
        </row>
        <row r="101">
          <cell r="M101" t="str">
            <v>保山</v>
          </cell>
        </row>
        <row r="101">
          <cell r="S101">
            <v>100</v>
          </cell>
        </row>
        <row r="102">
          <cell r="M102" t="str">
            <v>保山</v>
          </cell>
        </row>
        <row r="102">
          <cell r="S102">
            <v>113</v>
          </cell>
        </row>
        <row r="103">
          <cell r="M103" t="str">
            <v>保山</v>
          </cell>
        </row>
        <row r="103">
          <cell r="S103">
            <v>10.68</v>
          </cell>
        </row>
        <row r="104">
          <cell r="M104" t="str">
            <v>会员</v>
          </cell>
        </row>
        <row r="104">
          <cell r="S104">
            <v>25</v>
          </cell>
        </row>
        <row r="105">
          <cell r="M105" t="str">
            <v>出行</v>
          </cell>
        </row>
        <row r="105">
          <cell r="S105">
            <v>690</v>
          </cell>
        </row>
        <row r="106">
          <cell r="M106" t="str">
            <v>出行</v>
          </cell>
        </row>
        <row r="106">
          <cell r="S106">
            <v>95</v>
          </cell>
        </row>
        <row r="107">
          <cell r="M107" t="str">
            <v>保山</v>
          </cell>
        </row>
        <row r="107">
          <cell r="S107">
            <v>33.2</v>
          </cell>
        </row>
        <row r="108">
          <cell r="M108" t="str">
            <v>出行</v>
          </cell>
        </row>
        <row r="108">
          <cell r="S108">
            <v>27.67</v>
          </cell>
        </row>
        <row r="109">
          <cell r="M109" t="str">
            <v>住宿</v>
          </cell>
        </row>
        <row r="109">
          <cell r="S109">
            <v>64</v>
          </cell>
        </row>
        <row r="110">
          <cell r="M110" t="str">
            <v>早餐</v>
          </cell>
        </row>
        <row r="110">
          <cell r="S110">
            <v>10</v>
          </cell>
        </row>
        <row r="111">
          <cell r="M111" t="str">
            <v>日用</v>
          </cell>
        </row>
        <row r="111">
          <cell r="S111">
            <v>72.1</v>
          </cell>
        </row>
        <row r="112">
          <cell r="M112" t="str">
            <v>日用</v>
          </cell>
        </row>
        <row r="112">
          <cell r="S112">
            <v>50</v>
          </cell>
        </row>
        <row r="113">
          <cell r="M113" t="str">
            <v>日用</v>
          </cell>
        </row>
        <row r="113">
          <cell r="S113">
            <v>-93</v>
          </cell>
        </row>
        <row r="114">
          <cell r="M114" t="str">
            <v>出行</v>
          </cell>
        </row>
        <row r="114">
          <cell r="S114">
            <v>2.7</v>
          </cell>
        </row>
        <row r="115">
          <cell r="M115" t="str">
            <v>早餐</v>
          </cell>
        </row>
        <row r="115">
          <cell r="S115">
            <v>30</v>
          </cell>
        </row>
        <row r="116">
          <cell r="M116" t="str">
            <v>出行</v>
          </cell>
        </row>
        <row r="116">
          <cell r="S116">
            <v>1.8</v>
          </cell>
        </row>
        <row r="117">
          <cell r="M117" t="str">
            <v>出行</v>
          </cell>
        </row>
        <row r="117">
          <cell r="S117">
            <v>9.3</v>
          </cell>
        </row>
        <row r="118">
          <cell r="M118" t="str">
            <v>早餐</v>
          </cell>
        </row>
        <row r="118">
          <cell r="S118">
            <v>6</v>
          </cell>
        </row>
        <row r="119">
          <cell r="M119" t="str">
            <v>出行</v>
          </cell>
        </row>
        <row r="119">
          <cell r="S119">
            <v>2.7</v>
          </cell>
        </row>
        <row r="120">
          <cell r="M120" t="str">
            <v>出行</v>
          </cell>
        </row>
        <row r="120">
          <cell r="S120">
            <v>10.61</v>
          </cell>
        </row>
        <row r="121">
          <cell r="M121" t="str">
            <v>出行</v>
          </cell>
        </row>
        <row r="121">
          <cell r="S121">
            <v>2.7</v>
          </cell>
        </row>
        <row r="122">
          <cell r="M122" t="str">
            <v>日用</v>
          </cell>
        </row>
        <row r="122">
          <cell r="S122">
            <v>15</v>
          </cell>
        </row>
        <row r="123">
          <cell r="M123" t="str">
            <v>出行</v>
          </cell>
        </row>
        <row r="123">
          <cell r="S123">
            <v>1.8</v>
          </cell>
        </row>
        <row r="124">
          <cell r="M124" t="str">
            <v>早餐</v>
          </cell>
        </row>
        <row r="124">
          <cell r="S124">
            <v>11</v>
          </cell>
        </row>
        <row r="125">
          <cell r="M125" t="str">
            <v>早餐</v>
          </cell>
        </row>
        <row r="125">
          <cell r="S125">
            <v>18</v>
          </cell>
        </row>
        <row r="126">
          <cell r="M126" t="str">
            <v>早餐</v>
          </cell>
        </row>
        <row r="126">
          <cell r="S126">
            <v>2</v>
          </cell>
        </row>
        <row r="127">
          <cell r="M127" t="str">
            <v>早餐</v>
          </cell>
        </row>
        <row r="127">
          <cell r="S127">
            <v>13</v>
          </cell>
        </row>
        <row r="128">
          <cell r="M128" t="str">
            <v>出行</v>
          </cell>
        </row>
        <row r="128">
          <cell r="S128">
            <v>1.8</v>
          </cell>
        </row>
        <row r="129">
          <cell r="M129" t="str">
            <v>出行</v>
          </cell>
        </row>
        <row r="129">
          <cell r="S129">
            <v>3.6</v>
          </cell>
        </row>
        <row r="130">
          <cell r="M130" t="str">
            <v>早餐</v>
          </cell>
        </row>
        <row r="130">
          <cell r="S130">
            <v>15</v>
          </cell>
        </row>
        <row r="131">
          <cell r="M131" t="str">
            <v>会员</v>
          </cell>
        </row>
        <row r="131">
          <cell r="S131">
            <v>25</v>
          </cell>
        </row>
        <row r="132">
          <cell r="M132" t="str">
            <v>出行</v>
          </cell>
        </row>
        <row r="132">
          <cell r="S132">
            <v>3.6</v>
          </cell>
        </row>
        <row r="133">
          <cell r="M133" t="str">
            <v>早餐</v>
          </cell>
        </row>
        <row r="133">
          <cell r="S133">
            <v>14</v>
          </cell>
        </row>
        <row r="134">
          <cell r="M134" t="str">
            <v>出行</v>
          </cell>
        </row>
        <row r="134">
          <cell r="S134">
            <v>1.8</v>
          </cell>
        </row>
        <row r="135">
          <cell r="M135" t="str">
            <v>电费</v>
          </cell>
        </row>
        <row r="135">
          <cell r="S135">
            <v>100</v>
          </cell>
        </row>
        <row r="136">
          <cell r="M136" t="str">
            <v>早餐</v>
          </cell>
        </row>
        <row r="136">
          <cell r="S136">
            <v>13</v>
          </cell>
        </row>
        <row r="137">
          <cell r="M137" t="str">
            <v>早餐</v>
          </cell>
        </row>
        <row r="137">
          <cell r="S137">
            <v>4</v>
          </cell>
        </row>
        <row r="138">
          <cell r="M138" t="str">
            <v>早餐</v>
          </cell>
        </row>
        <row r="138">
          <cell r="S138">
            <v>19.8</v>
          </cell>
        </row>
        <row r="139">
          <cell r="M139" t="str">
            <v>日用</v>
          </cell>
        </row>
        <row r="139">
          <cell r="S139">
            <v>25.1</v>
          </cell>
        </row>
        <row r="140">
          <cell r="M140" t="str">
            <v>早餐</v>
          </cell>
        </row>
        <row r="140">
          <cell r="S140">
            <v>13</v>
          </cell>
        </row>
        <row r="141">
          <cell r="M141" t="str">
            <v>早餐</v>
          </cell>
        </row>
        <row r="141">
          <cell r="S141">
            <v>11</v>
          </cell>
        </row>
        <row r="142">
          <cell r="M142" t="str">
            <v>早餐</v>
          </cell>
        </row>
        <row r="142">
          <cell r="S142">
            <v>3</v>
          </cell>
        </row>
        <row r="143">
          <cell r="M143" t="str">
            <v>早餐</v>
          </cell>
        </row>
        <row r="143">
          <cell r="S143">
            <v>15</v>
          </cell>
        </row>
        <row r="144">
          <cell r="M144" t="str">
            <v>日用</v>
          </cell>
        </row>
        <row r="144">
          <cell r="S144">
            <v>30.1</v>
          </cell>
        </row>
        <row r="145">
          <cell r="M145" t="str">
            <v>早餐</v>
          </cell>
        </row>
        <row r="145">
          <cell r="S145">
            <v>4</v>
          </cell>
        </row>
        <row r="146">
          <cell r="M146" t="str">
            <v>出行</v>
          </cell>
        </row>
        <row r="146">
          <cell r="S146">
            <v>1.8</v>
          </cell>
        </row>
        <row r="147">
          <cell r="M147" t="str">
            <v>日用</v>
          </cell>
        </row>
        <row r="147">
          <cell r="S147">
            <v>60</v>
          </cell>
        </row>
        <row r="148">
          <cell r="M148" t="str">
            <v>早餐</v>
          </cell>
        </row>
        <row r="148">
          <cell r="S148">
            <v>30</v>
          </cell>
        </row>
        <row r="149">
          <cell r="M149" t="str">
            <v>日用</v>
          </cell>
        </row>
        <row r="149">
          <cell r="S149">
            <v>8</v>
          </cell>
        </row>
        <row r="150">
          <cell r="M150" t="str">
            <v>出行</v>
          </cell>
        </row>
        <row r="150">
          <cell r="S150">
            <v>1.8</v>
          </cell>
        </row>
        <row r="151">
          <cell r="M151" t="str">
            <v>早餐</v>
          </cell>
        </row>
        <row r="151">
          <cell r="S151">
            <v>36</v>
          </cell>
        </row>
        <row r="152">
          <cell r="M152" t="str">
            <v>日用</v>
          </cell>
        </row>
        <row r="152">
          <cell r="S152">
            <v>20.1</v>
          </cell>
        </row>
        <row r="153">
          <cell r="M153" t="str">
            <v>早餐</v>
          </cell>
        </row>
        <row r="153">
          <cell r="S153">
            <v>11</v>
          </cell>
        </row>
        <row r="154">
          <cell r="M154" t="str">
            <v>课程</v>
          </cell>
        </row>
        <row r="154">
          <cell r="S154">
            <v>39.9</v>
          </cell>
        </row>
        <row r="155">
          <cell r="M155" t="str">
            <v>早餐</v>
          </cell>
        </row>
        <row r="155">
          <cell r="S155">
            <v>11</v>
          </cell>
        </row>
        <row r="156">
          <cell r="M156" t="str">
            <v>日用</v>
          </cell>
        </row>
        <row r="156">
          <cell r="S156">
            <v>3</v>
          </cell>
        </row>
        <row r="157">
          <cell r="M157" t="str">
            <v>出行</v>
          </cell>
        </row>
        <row r="157">
          <cell r="S157">
            <v>1.8</v>
          </cell>
        </row>
        <row r="158">
          <cell r="M158" t="str">
            <v>出行</v>
          </cell>
        </row>
        <row r="158">
          <cell r="S158">
            <v>4.5</v>
          </cell>
        </row>
        <row r="159">
          <cell r="M159" t="str">
            <v>出行</v>
          </cell>
        </row>
        <row r="159">
          <cell r="S159">
            <v>2.7</v>
          </cell>
        </row>
        <row r="160">
          <cell r="M160" t="str">
            <v>出行</v>
          </cell>
        </row>
        <row r="160">
          <cell r="S160">
            <v>5.9</v>
          </cell>
        </row>
        <row r="161">
          <cell r="M161" t="str">
            <v>会员</v>
          </cell>
        </row>
        <row r="161">
          <cell r="S161">
            <v>25</v>
          </cell>
        </row>
        <row r="162">
          <cell r="M162" t="str">
            <v>日用</v>
          </cell>
        </row>
        <row r="162">
          <cell r="S162">
            <v>7</v>
          </cell>
        </row>
        <row r="163">
          <cell r="M163" t="str">
            <v>会员</v>
          </cell>
        </row>
        <row r="163">
          <cell r="S163">
            <v>15</v>
          </cell>
        </row>
        <row r="164">
          <cell r="M164" t="str">
            <v>出行</v>
          </cell>
        </row>
        <row r="164">
          <cell r="S164">
            <v>9.8</v>
          </cell>
        </row>
        <row r="165">
          <cell r="M165" t="str">
            <v>房租</v>
          </cell>
        </row>
        <row r="165">
          <cell r="S165">
            <v>1300</v>
          </cell>
        </row>
        <row r="166">
          <cell r="M166" t="str">
            <v>出行</v>
          </cell>
        </row>
        <row r="166">
          <cell r="S166">
            <v>4</v>
          </cell>
        </row>
        <row r="167">
          <cell r="M167" t="str">
            <v>日用</v>
          </cell>
        </row>
        <row r="167">
          <cell r="S167">
            <v>5</v>
          </cell>
        </row>
        <row r="168">
          <cell r="M168" t="str">
            <v>日用</v>
          </cell>
        </row>
        <row r="168">
          <cell r="S168">
            <v>49</v>
          </cell>
        </row>
        <row r="169">
          <cell r="M169" t="str">
            <v>出行</v>
          </cell>
        </row>
        <row r="169">
          <cell r="S169">
            <v>41.16</v>
          </cell>
        </row>
        <row r="170">
          <cell r="M170" t="str">
            <v>出行</v>
          </cell>
        </row>
        <row r="170">
          <cell r="S170">
            <v>2.7</v>
          </cell>
        </row>
        <row r="171">
          <cell r="M171" t="str">
            <v>出行</v>
          </cell>
        </row>
        <row r="171">
          <cell r="S171">
            <v>2.7</v>
          </cell>
        </row>
        <row r="172">
          <cell r="M172" t="str">
            <v>出行</v>
          </cell>
        </row>
        <row r="172">
          <cell r="S172">
            <v>1.8</v>
          </cell>
        </row>
        <row r="173">
          <cell r="M173" t="str">
            <v>话费</v>
          </cell>
        </row>
        <row r="173">
          <cell r="S173">
            <v>50</v>
          </cell>
        </row>
        <row r="174">
          <cell r="M174" t="str">
            <v>出行</v>
          </cell>
        </row>
        <row r="174">
          <cell r="S174">
            <v>3</v>
          </cell>
        </row>
        <row r="175">
          <cell r="M175" t="str">
            <v>话费</v>
          </cell>
        </row>
        <row r="175">
          <cell r="S175">
            <v>50</v>
          </cell>
        </row>
        <row r="176">
          <cell r="M176" t="str">
            <v>出行</v>
          </cell>
        </row>
        <row r="176">
          <cell r="S176">
            <v>15.45</v>
          </cell>
        </row>
        <row r="177">
          <cell r="M177" t="str">
            <v>社交</v>
          </cell>
        </row>
        <row r="177">
          <cell r="S177">
            <v>23</v>
          </cell>
        </row>
        <row r="178">
          <cell r="M178" t="str">
            <v>会员</v>
          </cell>
        </row>
        <row r="178">
          <cell r="S178">
            <v>15</v>
          </cell>
        </row>
        <row r="179">
          <cell r="M179" t="str">
            <v>日用</v>
          </cell>
        </row>
        <row r="179">
          <cell r="S179">
            <v>11</v>
          </cell>
        </row>
        <row r="180">
          <cell r="M180" t="str">
            <v>日用</v>
          </cell>
        </row>
        <row r="180">
          <cell r="S180">
            <v>170.17</v>
          </cell>
        </row>
        <row r="181">
          <cell r="M181" t="str">
            <v>日用</v>
          </cell>
        </row>
        <row r="181">
          <cell r="S181">
            <v>199</v>
          </cell>
        </row>
        <row r="182">
          <cell r="M182" t="str">
            <v>社交</v>
          </cell>
        </row>
        <row r="182">
          <cell r="S182">
            <v>25</v>
          </cell>
        </row>
        <row r="183">
          <cell r="M183" t="str">
            <v>早餐</v>
          </cell>
        </row>
        <row r="183">
          <cell r="S183">
            <v>12</v>
          </cell>
        </row>
        <row r="184">
          <cell r="M184" t="str">
            <v>会员</v>
          </cell>
        </row>
        <row r="184">
          <cell r="S184">
            <v>25</v>
          </cell>
        </row>
        <row r="185">
          <cell r="M185" t="str">
            <v>出行</v>
          </cell>
        </row>
        <row r="185">
          <cell r="S185">
            <v>3.6</v>
          </cell>
        </row>
        <row r="186">
          <cell r="M186" t="str">
            <v>出行</v>
          </cell>
        </row>
        <row r="186">
          <cell r="S186">
            <v>1.8</v>
          </cell>
        </row>
        <row r="187">
          <cell r="M187" t="str">
            <v>出行</v>
          </cell>
        </row>
        <row r="187">
          <cell r="S187">
            <v>1.8</v>
          </cell>
        </row>
        <row r="188">
          <cell r="M188" t="str">
            <v>会员</v>
          </cell>
        </row>
        <row r="188">
          <cell r="S188">
            <v>25</v>
          </cell>
        </row>
        <row r="189">
          <cell r="M189" t="str">
            <v>早餐</v>
          </cell>
        </row>
        <row r="189">
          <cell r="S189">
            <v>10</v>
          </cell>
        </row>
        <row r="190">
          <cell r="M190" t="str">
            <v>日用</v>
          </cell>
        </row>
        <row r="190">
          <cell r="S190">
            <v>15.1</v>
          </cell>
        </row>
        <row r="191">
          <cell r="M191" t="str">
            <v>菜钱</v>
          </cell>
        </row>
        <row r="191">
          <cell r="S191">
            <v>55.27</v>
          </cell>
        </row>
        <row r="192">
          <cell r="M192" t="str">
            <v>话费</v>
          </cell>
        </row>
        <row r="192">
          <cell r="S192">
            <v>50</v>
          </cell>
        </row>
        <row r="193">
          <cell r="M193" t="str">
            <v>出行</v>
          </cell>
        </row>
        <row r="193">
          <cell r="S193">
            <v>1.8</v>
          </cell>
        </row>
        <row r="194">
          <cell r="M194" t="str">
            <v>出行</v>
          </cell>
        </row>
        <row r="194">
          <cell r="S194">
            <v>1.8</v>
          </cell>
        </row>
        <row r="195">
          <cell r="M195" t="str">
            <v>出行</v>
          </cell>
        </row>
        <row r="195">
          <cell r="S195">
            <v>3.6</v>
          </cell>
        </row>
        <row r="196">
          <cell r="M196" t="str">
            <v>出行</v>
          </cell>
        </row>
        <row r="196">
          <cell r="S196">
            <v>3.6</v>
          </cell>
        </row>
        <row r="197">
          <cell r="M197" t="str">
            <v>话费</v>
          </cell>
        </row>
        <row r="197">
          <cell r="S197">
            <v>50</v>
          </cell>
        </row>
        <row r="198">
          <cell r="M198" t="str">
            <v>日用</v>
          </cell>
        </row>
        <row r="198">
          <cell r="S198">
            <v>10</v>
          </cell>
        </row>
        <row r="199">
          <cell r="M199" t="str">
            <v>社交</v>
          </cell>
        </row>
        <row r="199">
          <cell r="S199">
            <v>-2.75</v>
          </cell>
        </row>
        <row r="200">
          <cell r="M200" t="str">
            <v>会员</v>
          </cell>
        </row>
        <row r="200">
          <cell r="S200">
            <v>25</v>
          </cell>
        </row>
        <row r="201">
          <cell r="M201" t="str">
            <v>日用</v>
          </cell>
        </row>
        <row r="201">
          <cell r="S201">
            <v>39</v>
          </cell>
        </row>
        <row r="202">
          <cell r="M202" t="str">
            <v>会员</v>
          </cell>
        </row>
        <row r="202">
          <cell r="S202">
            <v>15</v>
          </cell>
        </row>
        <row r="203">
          <cell r="M203" t="str">
            <v>早餐</v>
          </cell>
        </row>
        <row r="203">
          <cell r="S203">
            <v>2</v>
          </cell>
        </row>
        <row r="204">
          <cell r="M204" t="str">
            <v>出行</v>
          </cell>
        </row>
        <row r="204">
          <cell r="S204">
            <v>1.8</v>
          </cell>
        </row>
        <row r="205">
          <cell r="M205" t="str">
            <v>出行</v>
          </cell>
        </row>
        <row r="205">
          <cell r="S205">
            <v>1.8</v>
          </cell>
        </row>
        <row r="206">
          <cell r="M206" t="str">
            <v>日用</v>
          </cell>
        </row>
        <row r="206">
          <cell r="S206">
            <v>20.1</v>
          </cell>
        </row>
        <row r="207">
          <cell r="M207" t="str">
            <v>出行</v>
          </cell>
        </row>
        <row r="207">
          <cell r="S207">
            <v>1.8</v>
          </cell>
        </row>
        <row r="208">
          <cell r="M208" t="str">
            <v>社交</v>
          </cell>
        </row>
        <row r="208">
          <cell r="S208">
            <v>13.8</v>
          </cell>
        </row>
        <row r="209">
          <cell r="M209" t="str">
            <v>社交</v>
          </cell>
        </row>
        <row r="209">
          <cell r="S209">
            <v>-3.28</v>
          </cell>
        </row>
        <row r="210">
          <cell r="M210" t="str">
            <v>社交</v>
          </cell>
        </row>
        <row r="210">
          <cell r="S210">
            <v>-0.64</v>
          </cell>
        </row>
        <row r="211">
          <cell r="M211" t="str">
            <v>社交</v>
          </cell>
        </row>
        <row r="211">
          <cell r="S211">
            <v>-2.96</v>
          </cell>
        </row>
        <row r="212">
          <cell r="M212" t="str">
            <v>社交</v>
          </cell>
        </row>
        <row r="212">
          <cell r="S212">
            <v>-0.58</v>
          </cell>
        </row>
        <row r="213">
          <cell r="M213" t="str">
            <v>社交</v>
          </cell>
        </row>
        <row r="213">
          <cell r="S213">
            <v>-2.02</v>
          </cell>
        </row>
        <row r="214">
          <cell r="M214" t="str">
            <v>出行</v>
          </cell>
        </row>
        <row r="214">
          <cell r="S214">
            <v>1.8</v>
          </cell>
        </row>
        <row r="215">
          <cell r="M215" t="str">
            <v>出行</v>
          </cell>
        </row>
        <row r="215">
          <cell r="S215">
            <v>3.6</v>
          </cell>
        </row>
        <row r="216">
          <cell r="M216" t="str">
            <v>日用</v>
          </cell>
        </row>
        <row r="216">
          <cell r="S216">
            <v>3</v>
          </cell>
        </row>
        <row r="217">
          <cell r="M217" t="str">
            <v>话费</v>
          </cell>
        </row>
        <row r="217">
          <cell r="S217">
            <v>30</v>
          </cell>
        </row>
        <row r="218">
          <cell r="M218" t="str">
            <v>出行</v>
          </cell>
        </row>
        <row r="218">
          <cell r="S218">
            <v>2.7</v>
          </cell>
        </row>
        <row r="219">
          <cell r="M219" t="str">
            <v>早餐</v>
          </cell>
        </row>
        <row r="219">
          <cell r="S219">
            <v>2</v>
          </cell>
        </row>
        <row r="220">
          <cell r="M220" t="str">
            <v>早餐</v>
          </cell>
        </row>
        <row r="220">
          <cell r="S220">
            <v>2</v>
          </cell>
        </row>
        <row r="221">
          <cell r="M221" t="str">
            <v>出行</v>
          </cell>
        </row>
        <row r="221">
          <cell r="S221">
            <v>1.8</v>
          </cell>
        </row>
        <row r="222">
          <cell r="M222" t="str">
            <v>出行</v>
          </cell>
        </row>
        <row r="222">
          <cell r="S222">
            <v>3.6</v>
          </cell>
        </row>
        <row r="223">
          <cell r="M223" t="str">
            <v>早餐</v>
          </cell>
        </row>
        <row r="223">
          <cell r="S223">
            <v>15</v>
          </cell>
        </row>
        <row r="224">
          <cell r="M224" t="str">
            <v>出行</v>
          </cell>
        </row>
        <row r="224">
          <cell r="S224">
            <v>3.6</v>
          </cell>
        </row>
        <row r="225">
          <cell r="M225" t="str">
            <v>出行</v>
          </cell>
        </row>
        <row r="225">
          <cell r="S225">
            <v>1.8</v>
          </cell>
        </row>
        <row r="226">
          <cell r="M226" t="str">
            <v>会员</v>
          </cell>
        </row>
        <row r="226">
          <cell r="S226">
            <v>15</v>
          </cell>
        </row>
        <row r="227">
          <cell r="M227" t="str">
            <v>早餐</v>
          </cell>
        </row>
        <row r="227">
          <cell r="S227">
            <v>22</v>
          </cell>
        </row>
        <row r="228">
          <cell r="M228" t="str">
            <v>出行</v>
          </cell>
        </row>
        <row r="228">
          <cell r="S228">
            <v>2.7</v>
          </cell>
        </row>
        <row r="229">
          <cell r="M229" t="str">
            <v>出行</v>
          </cell>
        </row>
        <row r="229">
          <cell r="S229">
            <v>3.6</v>
          </cell>
        </row>
        <row r="230">
          <cell r="M230" t="str">
            <v>早餐</v>
          </cell>
        </row>
        <row r="230">
          <cell r="S230">
            <v>3</v>
          </cell>
        </row>
        <row r="231">
          <cell r="M231" t="str">
            <v>出行</v>
          </cell>
        </row>
        <row r="231">
          <cell r="S231">
            <v>1.8</v>
          </cell>
        </row>
        <row r="232">
          <cell r="M232" t="str">
            <v>话费</v>
          </cell>
        </row>
        <row r="232">
          <cell r="S232">
            <v>100</v>
          </cell>
        </row>
        <row r="233">
          <cell r="M233" t="str">
            <v>电费</v>
          </cell>
        </row>
        <row r="233">
          <cell r="S233">
            <v>100</v>
          </cell>
        </row>
        <row r="234">
          <cell r="M234" t="str">
            <v>日用</v>
          </cell>
        </row>
        <row r="234">
          <cell r="S234">
            <v>69</v>
          </cell>
        </row>
        <row r="235">
          <cell r="M235" t="str">
            <v>话费</v>
          </cell>
        </row>
        <row r="235">
          <cell r="S235">
            <v>50</v>
          </cell>
        </row>
        <row r="236">
          <cell r="M236" t="str">
            <v>日用</v>
          </cell>
        </row>
        <row r="236">
          <cell r="S236">
            <v>149</v>
          </cell>
        </row>
        <row r="237">
          <cell r="M237" t="str">
            <v>日用</v>
          </cell>
        </row>
        <row r="237">
          <cell r="S237">
            <v>198</v>
          </cell>
        </row>
        <row r="238">
          <cell r="M238" t="str">
            <v>会员</v>
          </cell>
        </row>
        <row r="238">
          <cell r="S238">
            <v>25</v>
          </cell>
        </row>
        <row r="239">
          <cell r="M239" t="str">
            <v>游戏</v>
          </cell>
        </row>
        <row r="239">
          <cell r="S239">
            <v>1</v>
          </cell>
        </row>
        <row r="240">
          <cell r="M240" t="str">
            <v>早餐</v>
          </cell>
        </row>
        <row r="240">
          <cell r="S240">
            <v>11</v>
          </cell>
        </row>
        <row r="241">
          <cell r="M241" t="str">
            <v>日用</v>
          </cell>
        </row>
        <row r="241">
          <cell r="S241">
            <v>3.5</v>
          </cell>
        </row>
        <row r="242">
          <cell r="M242" t="str">
            <v>日用</v>
          </cell>
        </row>
        <row r="242">
          <cell r="S242">
            <v>12</v>
          </cell>
        </row>
        <row r="243">
          <cell r="M243" t="str">
            <v>日用</v>
          </cell>
        </row>
        <row r="243">
          <cell r="S243">
            <v>-10</v>
          </cell>
        </row>
        <row r="244">
          <cell r="M244" t="str">
            <v>日用</v>
          </cell>
        </row>
        <row r="244">
          <cell r="S244">
            <v>9.9</v>
          </cell>
        </row>
        <row r="245">
          <cell r="M245" t="str">
            <v>日用</v>
          </cell>
        </row>
        <row r="245">
          <cell r="S245">
            <v>9.9</v>
          </cell>
        </row>
        <row r="246">
          <cell r="M246" t="str">
            <v>日用</v>
          </cell>
        </row>
        <row r="246">
          <cell r="S246">
            <v>7</v>
          </cell>
        </row>
        <row r="247">
          <cell r="M247" t="str">
            <v>日用</v>
          </cell>
        </row>
        <row r="247">
          <cell r="S247">
            <v>80</v>
          </cell>
        </row>
        <row r="248">
          <cell r="M248" t="str">
            <v>日用</v>
          </cell>
        </row>
        <row r="248">
          <cell r="S248">
            <v>78</v>
          </cell>
        </row>
        <row r="249">
          <cell r="M249" t="str">
            <v>出行</v>
          </cell>
        </row>
        <row r="249">
          <cell r="S249">
            <v>1.8</v>
          </cell>
        </row>
        <row r="250">
          <cell r="M250" t="str">
            <v>出行</v>
          </cell>
        </row>
        <row r="250">
          <cell r="S250">
            <v>1.8</v>
          </cell>
        </row>
        <row r="251">
          <cell r="M251" t="str">
            <v>社交</v>
          </cell>
        </row>
        <row r="251">
          <cell r="S251">
            <v>50</v>
          </cell>
        </row>
        <row r="252">
          <cell r="M252" t="str">
            <v>话费</v>
          </cell>
        </row>
        <row r="252">
          <cell r="S252">
            <v>50</v>
          </cell>
        </row>
        <row r="253">
          <cell r="M253" t="str">
            <v>早餐</v>
          </cell>
        </row>
        <row r="253">
          <cell r="S253">
            <v>11</v>
          </cell>
        </row>
        <row r="254">
          <cell r="M254" t="str">
            <v>出行</v>
          </cell>
        </row>
        <row r="254">
          <cell r="S254">
            <v>1.8</v>
          </cell>
        </row>
        <row r="255">
          <cell r="M255" t="str">
            <v>出行</v>
          </cell>
        </row>
        <row r="255">
          <cell r="S255">
            <v>3.6</v>
          </cell>
        </row>
        <row r="256">
          <cell r="M256" t="str">
            <v>话费</v>
          </cell>
        </row>
        <row r="256">
          <cell r="S256">
            <v>50</v>
          </cell>
        </row>
        <row r="257">
          <cell r="M257" t="str">
            <v>会员</v>
          </cell>
        </row>
        <row r="257">
          <cell r="S257">
            <v>25</v>
          </cell>
        </row>
        <row r="258">
          <cell r="M258" t="str">
            <v>出行</v>
          </cell>
        </row>
        <row r="258">
          <cell r="S258">
            <v>3.6</v>
          </cell>
        </row>
        <row r="259">
          <cell r="M259" t="str">
            <v>早餐</v>
          </cell>
        </row>
        <row r="259">
          <cell r="S259">
            <v>5</v>
          </cell>
        </row>
        <row r="260">
          <cell r="M260" t="str">
            <v>出行</v>
          </cell>
        </row>
        <row r="260">
          <cell r="S260">
            <v>1.8</v>
          </cell>
        </row>
        <row r="261">
          <cell r="M261" t="str">
            <v>社交</v>
          </cell>
        </row>
        <row r="261">
          <cell r="S261">
            <v>50</v>
          </cell>
        </row>
        <row r="262">
          <cell r="M262" t="str">
            <v>日用</v>
          </cell>
        </row>
        <row r="262">
          <cell r="S262">
            <v>6</v>
          </cell>
        </row>
        <row r="263">
          <cell r="M263" t="str">
            <v>社交</v>
          </cell>
        </row>
        <row r="263">
          <cell r="S263">
            <v>-1.26</v>
          </cell>
        </row>
        <row r="264">
          <cell r="M264" t="str">
            <v>社交</v>
          </cell>
        </row>
        <row r="264">
          <cell r="S264">
            <v>-1.9</v>
          </cell>
        </row>
        <row r="265">
          <cell r="M265" t="str">
            <v>社交</v>
          </cell>
        </row>
        <row r="265">
          <cell r="S265">
            <v>-3.62</v>
          </cell>
        </row>
        <row r="266">
          <cell r="M266" t="str">
            <v>社交</v>
          </cell>
        </row>
        <row r="266">
          <cell r="S266">
            <v>-2.87</v>
          </cell>
        </row>
        <row r="267">
          <cell r="M267" t="str">
            <v>社交</v>
          </cell>
        </row>
        <row r="267">
          <cell r="S267">
            <v>-0.57</v>
          </cell>
        </row>
        <row r="268">
          <cell r="M268" t="str">
            <v>社交</v>
          </cell>
        </row>
        <row r="268">
          <cell r="S268">
            <v>30</v>
          </cell>
        </row>
        <row r="269">
          <cell r="M269" t="str">
            <v>出行</v>
          </cell>
        </row>
        <row r="269">
          <cell r="S269">
            <v>1.8</v>
          </cell>
        </row>
        <row r="270">
          <cell r="M270" t="str">
            <v>早餐</v>
          </cell>
        </row>
        <row r="270">
          <cell r="S270">
            <v>12</v>
          </cell>
        </row>
        <row r="271">
          <cell r="M271" t="str">
            <v>出行</v>
          </cell>
        </row>
        <row r="271">
          <cell r="S271">
            <v>3.6</v>
          </cell>
        </row>
        <row r="272">
          <cell r="M272" t="str">
            <v>课程</v>
          </cell>
        </row>
        <row r="272">
          <cell r="S272">
            <v>10</v>
          </cell>
        </row>
        <row r="273">
          <cell r="M273" t="str">
            <v>早餐</v>
          </cell>
        </row>
        <row r="273">
          <cell r="S273">
            <v>15</v>
          </cell>
        </row>
        <row r="274">
          <cell r="M274" t="str">
            <v>出行</v>
          </cell>
        </row>
        <row r="274">
          <cell r="S274">
            <v>3.6</v>
          </cell>
        </row>
        <row r="275">
          <cell r="M275" t="str">
            <v>出行</v>
          </cell>
        </row>
        <row r="275">
          <cell r="S275">
            <v>1.8</v>
          </cell>
        </row>
        <row r="276">
          <cell r="M276" t="str">
            <v>日用</v>
          </cell>
        </row>
        <row r="276">
          <cell r="S276">
            <v>10.1</v>
          </cell>
        </row>
        <row r="277">
          <cell r="M277" t="str">
            <v>日用</v>
          </cell>
        </row>
        <row r="277">
          <cell r="S277">
            <v>-1</v>
          </cell>
        </row>
        <row r="278">
          <cell r="M278" t="str">
            <v>日用</v>
          </cell>
        </row>
        <row r="278">
          <cell r="S278">
            <v>-1</v>
          </cell>
        </row>
        <row r="279">
          <cell r="M279" t="str">
            <v>早餐</v>
          </cell>
        </row>
        <row r="279">
          <cell r="S279">
            <v>3.5</v>
          </cell>
        </row>
        <row r="280">
          <cell r="M280" t="str">
            <v>出行</v>
          </cell>
        </row>
        <row r="280">
          <cell r="S280">
            <v>1.8</v>
          </cell>
        </row>
        <row r="281">
          <cell r="M281" t="str">
            <v>出行</v>
          </cell>
        </row>
        <row r="281">
          <cell r="S281">
            <v>2.7</v>
          </cell>
        </row>
        <row r="282">
          <cell r="M282" t="str">
            <v>早餐</v>
          </cell>
        </row>
        <row r="282">
          <cell r="S282">
            <v>12</v>
          </cell>
        </row>
        <row r="283">
          <cell r="M283" t="str">
            <v>出行</v>
          </cell>
        </row>
        <row r="283">
          <cell r="S283">
            <v>2.7</v>
          </cell>
        </row>
        <row r="284">
          <cell r="M284" t="str">
            <v>早餐</v>
          </cell>
        </row>
        <row r="284">
          <cell r="S284">
            <v>5</v>
          </cell>
        </row>
        <row r="285">
          <cell r="M285" t="str">
            <v>早餐</v>
          </cell>
        </row>
        <row r="285">
          <cell r="S285">
            <v>1.8</v>
          </cell>
        </row>
        <row r="286">
          <cell r="M286" t="str">
            <v>社交</v>
          </cell>
        </row>
        <row r="286">
          <cell r="S286">
            <v>-5</v>
          </cell>
        </row>
        <row r="287">
          <cell r="M287" t="str">
            <v>社交</v>
          </cell>
        </row>
        <row r="287">
          <cell r="S287">
            <v>-0.01</v>
          </cell>
        </row>
        <row r="288">
          <cell r="M288" t="str">
            <v>社交</v>
          </cell>
        </row>
        <row r="288">
          <cell r="S288">
            <v>-0.01</v>
          </cell>
        </row>
        <row r="289">
          <cell r="M289" t="str">
            <v>出行</v>
          </cell>
        </row>
        <row r="289">
          <cell r="S289">
            <v>1.8</v>
          </cell>
        </row>
        <row r="290">
          <cell r="M290" t="str">
            <v>出行</v>
          </cell>
        </row>
        <row r="290">
          <cell r="S290">
            <v>3.6</v>
          </cell>
        </row>
        <row r="291">
          <cell r="M291" t="str">
            <v>早餐</v>
          </cell>
        </row>
        <row r="291">
          <cell r="S291">
            <v>13</v>
          </cell>
        </row>
        <row r="292">
          <cell r="M292" t="str">
            <v>出行</v>
          </cell>
        </row>
        <row r="292">
          <cell r="S292">
            <v>3.6</v>
          </cell>
        </row>
        <row r="293">
          <cell r="M293" t="str">
            <v>出行</v>
          </cell>
        </row>
        <row r="293">
          <cell r="S293">
            <v>1.8</v>
          </cell>
        </row>
        <row r="294">
          <cell r="M294" t="str">
            <v>出行</v>
          </cell>
        </row>
        <row r="294">
          <cell r="S294">
            <v>3.6</v>
          </cell>
        </row>
        <row r="295">
          <cell r="M295" t="str">
            <v>早餐</v>
          </cell>
        </row>
        <row r="295">
          <cell r="S295">
            <v>11</v>
          </cell>
        </row>
        <row r="296">
          <cell r="M296" t="str">
            <v>出行</v>
          </cell>
        </row>
        <row r="296">
          <cell r="S296">
            <v>3.6</v>
          </cell>
        </row>
        <row r="297">
          <cell r="M297" t="str">
            <v>出行</v>
          </cell>
        </row>
        <row r="297">
          <cell r="S297">
            <v>1.8</v>
          </cell>
        </row>
        <row r="298">
          <cell r="M298" t="str">
            <v>话费</v>
          </cell>
        </row>
        <row r="298">
          <cell r="S298">
            <v>50</v>
          </cell>
        </row>
        <row r="299">
          <cell r="M299" t="str">
            <v>社交</v>
          </cell>
        </row>
        <row r="299">
          <cell r="S299">
            <v>360</v>
          </cell>
        </row>
        <row r="300">
          <cell r="M300" t="str">
            <v>会员</v>
          </cell>
        </row>
        <row r="300">
          <cell r="S300">
            <v>15</v>
          </cell>
        </row>
        <row r="301">
          <cell r="M301" t="str">
            <v>出行</v>
          </cell>
        </row>
        <row r="301">
          <cell r="S301">
            <v>1.8</v>
          </cell>
        </row>
        <row r="302">
          <cell r="M302" t="str">
            <v>早餐</v>
          </cell>
        </row>
        <row r="302">
          <cell r="S302">
            <v>13</v>
          </cell>
        </row>
        <row r="303">
          <cell r="M303" t="str">
            <v>日用</v>
          </cell>
        </row>
        <row r="303">
          <cell r="S303">
            <v>-149</v>
          </cell>
        </row>
        <row r="304">
          <cell r="M304" t="str">
            <v>早餐</v>
          </cell>
        </row>
        <row r="304">
          <cell r="S304">
            <v>11</v>
          </cell>
        </row>
        <row r="305">
          <cell r="M305" t="str">
            <v>游戏</v>
          </cell>
        </row>
        <row r="305">
          <cell r="S305">
            <v>30</v>
          </cell>
        </row>
        <row r="306">
          <cell r="M306" t="str">
            <v>早餐</v>
          </cell>
        </row>
        <row r="306">
          <cell r="S306">
            <v>11</v>
          </cell>
        </row>
        <row r="307">
          <cell r="M307" t="str">
            <v>出行</v>
          </cell>
        </row>
        <row r="307">
          <cell r="S307">
            <v>1.8</v>
          </cell>
        </row>
        <row r="308">
          <cell r="M308" t="str">
            <v>出行</v>
          </cell>
        </row>
        <row r="308">
          <cell r="S308">
            <v>3.6</v>
          </cell>
        </row>
        <row r="309">
          <cell r="M309" t="str">
            <v>出行</v>
          </cell>
        </row>
        <row r="309">
          <cell r="S309">
            <v>3.6</v>
          </cell>
        </row>
        <row r="310">
          <cell r="M310" t="str">
            <v>出行</v>
          </cell>
        </row>
        <row r="310">
          <cell r="S310">
            <v>1.8</v>
          </cell>
        </row>
        <row r="311">
          <cell r="M311" t="str">
            <v>早餐</v>
          </cell>
        </row>
        <row r="311">
          <cell r="S311">
            <v>11</v>
          </cell>
        </row>
        <row r="312">
          <cell r="M312" t="str">
            <v>早餐</v>
          </cell>
        </row>
        <row r="312">
          <cell r="S312">
            <v>11</v>
          </cell>
        </row>
        <row r="313">
          <cell r="M313" t="str">
            <v>出行</v>
          </cell>
        </row>
        <row r="313">
          <cell r="S313">
            <v>1.8</v>
          </cell>
        </row>
        <row r="314">
          <cell r="M314" t="str">
            <v>出行</v>
          </cell>
        </row>
        <row r="314">
          <cell r="S314">
            <v>1</v>
          </cell>
        </row>
        <row r="315">
          <cell r="M315" t="str">
            <v>出行</v>
          </cell>
        </row>
        <row r="315">
          <cell r="S315">
            <v>2.7</v>
          </cell>
        </row>
        <row r="316">
          <cell r="M316" t="str">
            <v>出行</v>
          </cell>
        </row>
        <row r="316">
          <cell r="S316">
            <v>2.7</v>
          </cell>
        </row>
        <row r="317">
          <cell r="M317" t="str">
            <v>出行</v>
          </cell>
        </row>
        <row r="317">
          <cell r="S317">
            <v>0.1</v>
          </cell>
        </row>
        <row r="318">
          <cell r="M318" t="str">
            <v>社交</v>
          </cell>
        </row>
        <row r="318">
          <cell r="S318">
            <v>36</v>
          </cell>
        </row>
        <row r="319">
          <cell r="M319" t="str">
            <v>社交</v>
          </cell>
        </row>
        <row r="319">
          <cell r="S319">
            <v>-3.78</v>
          </cell>
        </row>
        <row r="320">
          <cell r="M320" t="str">
            <v>社交</v>
          </cell>
        </row>
        <row r="320">
          <cell r="S320">
            <v>-6.68</v>
          </cell>
        </row>
        <row r="321">
          <cell r="M321" t="str">
            <v>社交</v>
          </cell>
        </row>
        <row r="321">
          <cell r="S321">
            <v>-4.88</v>
          </cell>
        </row>
        <row r="322">
          <cell r="M322" t="str">
            <v>出行</v>
          </cell>
        </row>
        <row r="322">
          <cell r="S322">
            <v>1.8</v>
          </cell>
        </row>
        <row r="323">
          <cell r="M323" t="str">
            <v>出行</v>
          </cell>
        </row>
        <row r="323">
          <cell r="S323">
            <v>3.6</v>
          </cell>
        </row>
        <row r="324">
          <cell r="M324" t="str">
            <v>早餐</v>
          </cell>
        </row>
        <row r="324">
          <cell r="S324">
            <v>11</v>
          </cell>
        </row>
        <row r="325">
          <cell r="M325" t="str">
            <v>出行</v>
          </cell>
        </row>
        <row r="325">
          <cell r="S325">
            <v>3.6</v>
          </cell>
        </row>
        <row r="326">
          <cell r="M326" t="str">
            <v>早餐</v>
          </cell>
        </row>
        <row r="326">
          <cell r="S326">
            <v>5</v>
          </cell>
        </row>
        <row r="327">
          <cell r="M327" t="str">
            <v>出行</v>
          </cell>
        </row>
        <row r="327">
          <cell r="S327">
            <v>1.8</v>
          </cell>
        </row>
        <row r="328">
          <cell r="M328" t="str">
            <v>出行</v>
          </cell>
        </row>
        <row r="328">
          <cell r="S328">
            <v>1.8</v>
          </cell>
        </row>
        <row r="329">
          <cell r="M329" t="str">
            <v>出行</v>
          </cell>
        </row>
        <row r="329">
          <cell r="S329">
            <v>3.6</v>
          </cell>
        </row>
        <row r="330">
          <cell r="M330" t="str">
            <v>早餐</v>
          </cell>
        </row>
        <row r="330">
          <cell r="S330">
            <v>11</v>
          </cell>
        </row>
        <row r="331">
          <cell r="M331" t="str">
            <v>债权投资</v>
          </cell>
        </row>
        <row r="331">
          <cell r="S331">
            <v>10000</v>
          </cell>
        </row>
        <row r="332">
          <cell r="M332" t="str">
            <v>出行</v>
          </cell>
        </row>
        <row r="332">
          <cell r="S332">
            <v>3.6</v>
          </cell>
        </row>
        <row r="333">
          <cell r="M333" t="str">
            <v>出行</v>
          </cell>
        </row>
        <row r="333">
          <cell r="S333">
            <v>1.8</v>
          </cell>
        </row>
        <row r="334">
          <cell r="M334" t="str">
            <v>社交</v>
          </cell>
        </row>
        <row r="334">
          <cell r="S334">
            <v>-100</v>
          </cell>
        </row>
        <row r="335">
          <cell r="M335" t="str">
            <v>日用</v>
          </cell>
        </row>
        <row r="335">
          <cell r="S335">
            <v>8.5</v>
          </cell>
        </row>
        <row r="336">
          <cell r="M336" t="str">
            <v>社交</v>
          </cell>
        </row>
        <row r="336">
          <cell r="S336">
            <v>15</v>
          </cell>
        </row>
        <row r="337">
          <cell r="M337" t="str">
            <v>社交</v>
          </cell>
        </row>
        <row r="337">
          <cell r="S337">
            <v>50</v>
          </cell>
        </row>
        <row r="338">
          <cell r="M338" t="str">
            <v>社交</v>
          </cell>
        </row>
        <row r="338">
          <cell r="S338">
            <v>15</v>
          </cell>
        </row>
        <row r="339">
          <cell r="M339" t="str">
            <v>社交</v>
          </cell>
        </row>
        <row r="339">
          <cell r="S339">
            <v>40</v>
          </cell>
        </row>
        <row r="340">
          <cell r="M340" t="str">
            <v>社交</v>
          </cell>
        </row>
        <row r="340">
          <cell r="S340">
            <v>60</v>
          </cell>
        </row>
        <row r="341">
          <cell r="M341" t="str">
            <v>日用</v>
          </cell>
        </row>
        <row r="341">
          <cell r="S341">
            <v>20.1</v>
          </cell>
        </row>
        <row r="342">
          <cell r="M342" t="str">
            <v>日用</v>
          </cell>
        </row>
        <row r="342">
          <cell r="S342">
            <v>4.5</v>
          </cell>
        </row>
        <row r="343">
          <cell r="M343" t="str">
            <v>早餐</v>
          </cell>
        </row>
        <row r="343">
          <cell r="S343">
            <v>11</v>
          </cell>
        </row>
        <row r="344">
          <cell r="M344" t="str">
            <v>会员</v>
          </cell>
        </row>
        <row r="344">
          <cell r="S344">
            <v>15</v>
          </cell>
        </row>
        <row r="345">
          <cell r="M345" t="str">
            <v>日用</v>
          </cell>
        </row>
        <row r="345">
          <cell r="S345">
            <v>27.1</v>
          </cell>
        </row>
        <row r="346">
          <cell r="M346" t="str">
            <v>话费</v>
          </cell>
        </row>
        <row r="346">
          <cell r="S346">
            <v>50</v>
          </cell>
        </row>
        <row r="347">
          <cell r="M347" t="str">
            <v>出行</v>
          </cell>
        </row>
        <row r="347">
          <cell r="S347">
            <v>1.8</v>
          </cell>
        </row>
        <row r="348">
          <cell r="M348" t="str">
            <v>出行</v>
          </cell>
        </row>
        <row r="348">
          <cell r="S348">
            <v>1.8</v>
          </cell>
        </row>
        <row r="349">
          <cell r="M349" t="str">
            <v>出行</v>
          </cell>
        </row>
        <row r="349">
          <cell r="S349">
            <v>1.8</v>
          </cell>
        </row>
        <row r="350">
          <cell r="M350" t="str">
            <v>话费</v>
          </cell>
        </row>
        <row r="350">
          <cell r="S350">
            <v>30</v>
          </cell>
        </row>
        <row r="351">
          <cell r="M351" t="str">
            <v>出行</v>
          </cell>
        </row>
        <row r="351">
          <cell r="S351">
            <v>1.8</v>
          </cell>
        </row>
        <row r="352">
          <cell r="M352" t="str">
            <v>出行</v>
          </cell>
        </row>
        <row r="352">
          <cell r="S352">
            <v>1.8</v>
          </cell>
        </row>
        <row r="353">
          <cell r="M353" t="str">
            <v>出行</v>
          </cell>
        </row>
        <row r="353">
          <cell r="S353">
            <v>3.6</v>
          </cell>
        </row>
        <row r="354">
          <cell r="M354" t="str">
            <v>日用</v>
          </cell>
        </row>
        <row r="354">
          <cell r="S354">
            <v>46.1</v>
          </cell>
        </row>
        <row r="355">
          <cell r="M355" t="str">
            <v>早餐</v>
          </cell>
        </row>
        <row r="355">
          <cell r="S355">
            <v>13</v>
          </cell>
        </row>
        <row r="356">
          <cell r="M356" t="str">
            <v>话费</v>
          </cell>
        </row>
        <row r="356">
          <cell r="S356">
            <v>30</v>
          </cell>
        </row>
        <row r="357">
          <cell r="M357" t="str">
            <v>出行</v>
          </cell>
        </row>
        <row r="357">
          <cell r="S357">
            <v>3.6</v>
          </cell>
        </row>
        <row r="358">
          <cell r="M358" t="str">
            <v>早餐</v>
          </cell>
        </row>
        <row r="358">
          <cell r="S358">
            <v>5</v>
          </cell>
        </row>
        <row r="359">
          <cell r="M359" t="str">
            <v>出行</v>
          </cell>
        </row>
        <row r="359">
          <cell r="S359">
            <v>1.8</v>
          </cell>
        </row>
        <row r="360">
          <cell r="M360" t="str">
            <v>出行</v>
          </cell>
        </row>
        <row r="360">
          <cell r="S360">
            <v>1.8</v>
          </cell>
        </row>
        <row r="361">
          <cell r="M361" t="str">
            <v>出行</v>
          </cell>
        </row>
        <row r="361">
          <cell r="S361">
            <v>3.6</v>
          </cell>
        </row>
        <row r="362">
          <cell r="M362" t="str">
            <v>早餐</v>
          </cell>
        </row>
        <row r="362">
          <cell r="S362">
            <v>11</v>
          </cell>
        </row>
        <row r="363">
          <cell r="M363" t="str">
            <v>出行</v>
          </cell>
        </row>
        <row r="363">
          <cell r="S363">
            <v>3.6</v>
          </cell>
        </row>
        <row r="364">
          <cell r="M364" t="str">
            <v>出行</v>
          </cell>
        </row>
        <row r="364">
          <cell r="S364">
            <v>1.8</v>
          </cell>
        </row>
        <row r="365">
          <cell r="M365" t="str">
            <v>会员</v>
          </cell>
        </row>
        <row r="365">
          <cell r="S365">
            <v>25</v>
          </cell>
        </row>
        <row r="366">
          <cell r="M366" t="str">
            <v>早餐</v>
          </cell>
        </row>
        <row r="366">
          <cell r="S366">
            <v>15</v>
          </cell>
        </row>
        <row r="367">
          <cell r="M367" t="str">
            <v>日用</v>
          </cell>
        </row>
        <row r="367">
          <cell r="S367">
            <v>3</v>
          </cell>
        </row>
        <row r="368">
          <cell r="M368" t="str">
            <v>早餐</v>
          </cell>
        </row>
        <row r="368">
          <cell r="S368">
            <v>11</v>
          </cell>
        </row>
        <row r="369">
          <cell r="M369" t="str">
            <v>会员</v>
          </cell>
        </row>
        <row r="369">
          <cell r="S369">
            <v>25</v>
          </cell>
        </row>
        <row r="370">
          <cell r="M370" t="str">
            <v>日用</v>
          </cell>
        </row>
        <row r="370">
          <cell r="S370">
            <v>18</v>
          </cell>
        </row>
        <row r="371">
          <cell r="M371" t="str">
            <v>出行</v>
          </cell>
        </row>
        <row r="371">
          <cell r="S371">
            <v>1.8</v>
          </cell>
        </row>
        <row r="372">
          <cell r="M372" t="str">
            <v>出行</v>
          </cell>
        </row>
        <row r="372">
          <cell r="S372">
            <v>6.3</v>
          </cell>
        </row>
        <row r="373">
          <cell r="M373" t="str">
            <v>出行</v>
          </cell>
        </row>
        <row r="373">
          <cell r="S373">
            <v>5.4</v>
          </cell>
        </row>
        <row r="374">
          <cell r="M374" t="str">
            <v>日用</v>
          </cell>
        </row>
        <row r="374">
          <cell r="S374">
            <v>11</v>
          </cell>
        </row>
        <row r="375">
          <cell r="M375" t="str">
            <v>话费</v>
          </cell>
        </row>
        <row r="375">
          <cell r="S375">
            <v>30</v>
          </cell>
        </row>
        <row r="376">
          <cell r="M376" t="str">
            <v>早餐</v>
          </cell>
        </row>
        <row r="376">
          <cell r="S376">
            <v>11</v>
          </cell>
        </row>
        <row r="377">
          <cell r="M377" t="str">
            <v>出行</v>
          </cell>
        </row>
        <row r="377">
          <cell r="S377">
            <v>1.8</v>
          </cell>
        </row>
        <row r="378">
          <cell r="M378" t="str">
            <v>早餐</v>
          </cell>
        </row>
        <row r="378">
          <cell r="S378">
            <v>13</v>
          </cell>
        </row>
        <row r="379">
          <cell r="M379" t="str">
            <v>出行</v>
          </cell>
        </row>
        <row r="379">
          <cell r="S379">
            <v>3</v>
          </cell>
        </row>
        <row r="380">
          <cell r="M380" t="str">
            <v>日用</v>
          </cell>
        </row>
        <row r="380">
          <cell r="S380">
            <v>45</v>
          </cell>
        </row>
        <row r="381">
          <cell r="M381" t="str">
            <v>日用</v>
          </cell>
        </row>
        <row r="381">
          <cell r="S381">
            <v>8.9</v>
          </cell>
        </row>
        <row r="382">
          <cell r="M382" t="str">
            <v>会员</v>
          </cell>
        </row>
        <row r="382">
          <cell r="S382">
            <v>15</v>
          </cell>
        </row>
        <row r="383">
          <cell r="M383" t="str">
            <v>出行</v>
          </cell>
        </row>
        <row r="383">
          <cell r="S383">
            <v>1.8</v>
          </cell>
        </row>
        <row r="384">
          <cell r="M384" t="str">
            <v>早餐</v>
          </cell>
        </row>
        <row r="384">
          <cell r="S384">
            <v>5</v>
          </cell>
        </row>
        <row r="385">
          <cell r="M385" t="str">
            <v>小资</v>
          </cell>
        </row>
        <row r="385">
          <cell r="R385" t="str">
            <v>吃喝</v>
          </cell>
          <cell r="S385">
            <v>7</v>
          </cell>
        </row>
        <row r="386">
          <cell r="M386" t="str">
            <v>小资</v>
          </cell>
        </row>
        <row r="386">
          <cell r="R386" t="str">
            <v>吃喝</v>
          </cell>
          <cell r="S386">
            <v>7</v>
          </cell>
        </row>
        <row r="387">
          <cell r="M387" t="str">
            <v>出行</v>
          </cell>
        </row>
        <row r="387">
          <cell r="S387">
            <v>1.8</v>
          </cell>
        </row>
        <row r="388">
          <cell r="M388" t="str">
            <v>出行</v>
          </cell>
        </row>
        <row r="388">
          <cell r="S388">
            <v>1.8</v>
          </cell>
        </row>
        <row r="389">
          <cell r="M389" t="str">
            <v>出行</v>
          </cell>
        </row>
        <row r="389">
          <cell r="S389">
            <v>1.8</v>
          </cell>
        </row>
        <row r="390">
          <cell r="M390" t="str">
            <v>早餐</v>
          </cell>
        </row>
        <row r="390">
          <cell r="S390">
            <v>13</v>
          </cell>
        </row>
        <row r="391">
          <cell r="M391" t="str">
            <v>早餐</v>
          </cell>
        </row>
        <row r="391">
          <cell r="S391">
            <v>18</v>
          </cell>
        </row>
        <row r="392">
          <cell r="M392" t="str">
            <v>出行</v>
          </cell>
        </row>
        <row r="392">
          <cell r="S392">
            <v>1.8</v>
          </cell>
        </row>
        <row r="393">
          <cell r="M393" t="str">
            <v>出行</v>
          </cell>
        </row>
        <row r="393">
          <cell r="S393">
            <v>2.7</v>
          </cell>
        </row>
        <row r="394">
          <cell r="M394" t="str">
            <v>话费</v>
          </cell>
        </row>
        <row r="394">
          <cell r="S394">
            <v>30</v>
          </cell>
        </row>
        <row r="395">
          <cell r="M395" t="str">
            <v>出行</v>
          </cell>
        </row>
        <row r="395">
          <cell r="S395">
            <v>1.8</v>
          </cell>
        </row>
        <row r="396">
          <cell r="M396" t="str">
            <v>出行</v>
          </cell>
        </row>
        <row r="396">
          <cell r="S396">
            <v>3.6</v>
          </cell>
        </row>
        <row r="397">
          <cell r="M397" t="str">
            <v>早餐</v>
          </cell>
        </row>
        <row r="397">
          <cell r="S397">
            <v>11</v>
          </cell>
        </row>
        <row r="398">
          <cell r="M398" t="str">
            <v>出行</v>
          </cell>
        </row>
        <row r="398">
          <cell r="S398">
            <v>3.6</v>
          </cell>
        </row>
        <row r="399">
          <cell r="M399" t="str">
            <v>早餐</v>
          </cell>
        </row>
        <row r="399">
          <cell r="S399">
            <v>6</v>
          </cell>
        </row>
        <row r="400">
          <cell r="M400" t="str">
            <v>出行</v>
          </cell>
        </row>
        <row r="400">
          <cell r="S400">
            <v>1.8</v>
          </cell>
        </row>
        <row r="401">
          <cell r="M401" t="str">
            <v>日用</v>
          </cell>
        </row>
        <row r="401">
          <cell r="S401">
            <v>50.1</v>
          </cell>
        </row>
        <row r="402">
          <cell r="M402" t="str">
            <v>出行</v>
          </cell>
        </row>
        <row r="402">
          <cell r="S402">
            <v>1.8</v>
          </cell>
        </row>
        <row r="403">
          <cell r="M403" t="str">
            <v>小资</v>
          </cell>
        </row>
        <row r="403">
          <cell r="R403" t="str">
            <v>吃喝</v>
          </cell>
          <cell r="S403">
            <v>7</v>
          </cell>
        </row>
        <row r="404">
          <cell r="M404" t="str">
            <v>早餐</v>
          </cell>
        </row>
        <row r="404">
          <cell r="S404">
            <v>12</v>
          </cell>
        </row>
        <row r="405">
          <cell r="M405" t="str">
            <v>早餐</v>
          </cell>
        </row>
        <row r="405">
          <cell r="S405">
            <v>10</v>
          </cell>
        </row>
        <row r="406">
          <cell r="M406" t="str">
            <v>出行</v>
          </cell>
        </row>
        <row r="406">
          <cell r="S406">
            <v>1.8</v>
          </cell>
        </row>
        <row r="407">
          <cell r="M407" t="str">
            <v>出行</v>
          </cell>
        </row>
        <row r="407">
          <cell r="S407">
            <v>1.8</v>
          </cell>
        </row>
        <row r="408">
          <cell r="M408" t="str">
            <v>早餐</v>
          </cell>
        </row>
        <row r="408">
          <cell r="S408">
            <v>14</v>
          </cell>
        </row>
        <row r="409">
          <cell r="M409" t="str">
            <v>出行</v>
          </cell>
        </row>
        <row r="409">
          <cell r="S409">
            <v>3.6</v>
          </cell>
        </row>
        <row r="410">
          <cell r="M410" t="str">
            <v>出行</v>
          </cell>
        </row>
        <row r="410">
          <cell r="S410">
            <v>3.6</v>
          </cell>
        </row>
        <row r="411">
          <cell r="M411" t="str">
            <v>出行</v>
          </cell>
        </row>
        <row r="411">
          <cell r="S411">
            <v>1.8</v>
          </cell>
        </row>
        <row r="412">
          <cell r="M412" t="str">
            <v>社交</v>
          </cell>
        </row>
        <row r="412">
          <cell r="S412">
            <v>-0.9</v>
          </cell>
        </row>
        <row r="413">
          <cell r="M413" t="str">
            <v>出行</v>
          </cell>
        </row>
        <row r="413">
          <cell r="S413">
            <v>1.8</v>
          </cell>
        </row>
        <row r="414">
          <cell r="M414" t="str">
            <v>早餐</v>
          </cell>
        </row>
        <row r="414">
          <cell r="S414">
            <v>5.8</v>
          </cell>
        </row>
        <row r="415">
          <cell r="M415" t="str">
            <v>早餐</v>
          </cell>
        </row>
        <row r="415">
          <cell r="S415">
            <v>23</v>
          </cell>
        </row>
        <row r="416">
          <cell r="M416" t="str">
            <v>出行</v>
          </cell>
        </row>
        <row r="416">
          <cell r="S416">
            <v>1.8</v>
          </cell>
        </row>
        <row r="417">
          <cell r="M417" t="str">
            <v>话费</v>
          </cell>
        </row>
        <row r="417">
          <cell r="S417">
            <v>50</v>
          </cell>
        </row>
        <row r="418">
          <cell r="M418" t="str">
            <v>游戏</v>
          </cell>
        </row>
        <row r="418">
          <cell r="S418">
            <v>30</v>
          </cell>
        </row>
        <row r="419">
          <cell r="M419" t="str">
            <v>早餐</v>
          </cell>
        </row>
        <row r="419">
          <cell r="S419">
            <v>13</v>
          </cell>
        </row>
        <row r="420">
          <cell r="M420" t="str">
            <v>日用</v>
          </cell>
        </row>
        <row r="420">
          <cell r="S420">
            <v>27.1</v>
          </cell>
        </row>
        <row r="421">
          <cell r="M421" t="str">
            <v>出行</v>
          </cell>
        </row>
        <row r="421">
          <cell r="S421">
            <v>1.8</v>
          </cell>
        </row>
        <row r="422">
          <cell r="M422" t="str">
            <v>出行</v>
          </cell>
        </row>
        <row r="422">
          <cell r="S422">
            <v>1.8</v>
          </cell>
        </row>
        <row r="423">
          <cell r="M423" t="str">
            <v>出行</v>
          </cell>
        </row>
        <row r="423">
          <cell r="S423">
            <v>1.8</v>
          </cell>
        </row>
        <row r="424">
          <cell r="M424" t="str">
            <v>出行</v>
          </cell>
        </row>
        <row r="424">
          <cell r="S424">
            <v>3.6</v>
          </cell>
        </row>
        <row r="425">
          <cell r="M425" t="str">
            <v>早餐</v>
          </cell>
        </row>
        <row r="425">
          <cell r="S425">
            <v>20</v>
          </cell>
        </row>
        <row r="426">
          <cell r="M426" t="str">
            <v>日用</v>
          </cell>
        </row>
        <row r="426">
          <cell r="S426">
            <v>6</v>
          </cell>
        </row>
        <row r="427">
          <cell r="M427" t="str">
            <v>出行</v>
          </cell>
        </row>
        <row r="427">
          <cell r="S427">
            <v>1.8</v>
          </cell>
        </row>
        <row r="428">
          <cell r="M428" t="str">
            <v>出行</v>
          </cell>
        </row>
        <row r="428">
          <cell r="S428">
            <v>3.6</v>
          </cell>
        </row>
        <row r="429">
          <cell r="M429" t="str">
            <v>社交</v>
          </cell>
        </row>
        <row r="429">
          <cell r="S429">
            <v>86</v>
          </cell>
        </row>
        <row r="430">
          <cell r="M430" t="str">
            <v>早餐</v>
          </cell>
        </row>
        <row r="430">
          <cell r="S430">
            <v>10</v>
          </cell>
        </row>
        <row r="431">
          <cell r="M431" t="str">
            <v>早餐</v>
          </cell>
        </row>
        <row r="431">
          <cell r="S431">
            <v>6.7</v>
          </cell>
        </row>
        <row r="432">
          <cell r="M432" t="str">
            <v>话费</v>
          </cell>
        </row>
        <row r="432">
          <cell r="S432">
            <v>30</v>
          </cell>
        </row>
        <row r="433">
          <cell r="M433" t="str">
            <v>课程</v>
          </cell>
        </row>
        <row r="433">
          <cell r="S433">
            <v>8.8</v>
          </cell>
        </row>
        <row r="434">
          <cell r="M434" t="str">
            <v>会员</v>
          </cell>
        </row>
        <row r="434">
          <cell r="S434">
            <v>79</v>
          </cell>
        </row>
        <row r="435">
          <cell r="M435" t="str">
            <v>会员</v>
          </cell>
        </row>
        <row r="435">
          <cell r="S435">
            <v>25</v>
          </cell>
        </row>
        <row r="436">
          <cell r="M436" t="str">
            <v>社交</v>
          </cell>
        </row>
        <row r="436">
          <cell r="S436">
            <v>139.14</v>
          </cell>
        </row>
        <row r="437">
          <cell r="M437" t="str">
            <v>早餐</v>
          </cell>
        </row>
        <row r="437">
          <cell r="S437">
            <v>12</v>
          </cell>
        </row>
        <row r="438">
          <cell r="M438" t="str">
            <v>出行</v>
          </cell>
        </row>
        <row r="438">
          <cell r="S438">
            <v>1.8</v>
          </cell>
        </row>
        <row r="439">
          <cell r="M439" t="str">
            <v>小资</v>
          </cell>
        </row>
        <row r="439">
          <cell r="R439" t="str">
            <v>吃喝</v>
          </cell>
          <cell r="S439">
            <v>7</v>
          </cell>
        </row>
        <row r="440">
          <cell r="M440" t="str">
            <v>社交</v>
          </cell>
        </row>
        <row r="440">
          <cell r="S440">
            <v>96</v>
          </cell>
        </row>
        <row r="441">
          <cell r="M441" t="str">
            <v>社交</v>
          </cell>
        </row>
        <row r="441">
          <cell r="S441">
            <v>10.5</v>
          </cell>
        </row>
        <row r="442">
          <cell r="M442" t="str">
            <v>早餐</v>
          </cell>
        </row>
        <row r="442">
          <cell r="S442">
            <v>10</v>
          </cell>
        </row>
        <row r="443">
          <cell r="M443" t="str">
            <v>会员</v>
          </cell>
        </row>
        <row r="443">
          <cell r="S443">
            <v>25</v>
          </cell>
        </row>
        <row r="444">
          <cell r="M444" t="str">
            <v>早餐</v>
          </cell>
        </row>
        <row r="444">
          <cell r="S444">
            <v>10</v>
          </cell>
        </row>
        <row r="445">
          <cell r="M445" t="str">
            <v>早餐</v>
          </cell>
        </row>
        <row r="445">
          <cell r="S445">
            <v>5.5</v>
          </cell>
        </row>
        <row r="446">
          <cell r="M446" t="str">
            <v>日用</v>
          </cell>
        </row>
        <row r="446">
          <cell r="S446">
            <v>109.11</v>
          </cell>
        </row>
        <row r="447">
          <cell r="M447" t="str">
            <v>会员</v>
          </cell>
        </row>
        <row r="447">
          <cell r="S447">
            <v>1</v>
          </cell>
        </row>
        <row r="448">
          <cell r="M448" t="str">
            <v>早餐</v>
          </cell>
        </row>
        <row r="448">
          <cell r="S448">
            <v>12</v>
          </cell>
        </row>
        <row r="449">
          <cell r="M449" t="str">
            <v>出行</v>
          </cell>
        </row>
        <row r="449">
          <cell r="S449">
            <v>1.8</v>
          </cell>
        </row>
        <row r="450">
          <cell r="M450" t="str">
            <v>保山</v>
          </cell>
        </row>
        <row r="450">
          <cell r="S450">
            <v>537</v>
          </cell>
        </row>
        <row r="451">
          <cell r="M451" t="str">
            <v>早餐</v>
          </cell>
        </row>
        <row r="451">
          <cell r="S451">
            <v>5.5</v>
          </cell>
        </row>
        <row r="452">
          <cell r="M452" t="str">
            <v>出行</v>
          </cell>
        </row>
        <row r="452">
          <cell r="S452">
            <v>1.8</v>
          </cell>
        </row>
        <row r="453">
          <cell r="M453" t="str">
            <v>出行</v>
          </cell>
        </row>
        <row r="453">
          <cell r="S453">
            <v>4.5</v>
          </cell>
        </row>
        <row r="454">
          <cell r="M454" t="str">
            <v>保山</v>
          </cell>
        </row>
        <row r="454">
          <cell r="S454">
            <v>18.5</v>
          </cell>
        </row>
        <row r="455">
          <cell r="M455" t="str">
            <v>保山</v>
          </cell>
        </row>
        <row r="455">
          <cell r="S455">
            <v>11.73</v>
          </cell>
        </row>
        <row r="456">
          <cell r="M456" t="str">
            <v>保山</v>
          </cell>
        </row>
        <row r="456">
          <cell r="S456">
            <v>15</v>
          </cell>
        </row>
        <row r="457">
          <cell r="M457" t="str">
            <v>保山</v>
          </cell>
        </row>
        <row r="457">
          <cell r="S457">
            <v>12.04</v>
          </cell>
        </row>
        <row r="458">
          <cell r="M458" t="str">
            <v>保山</v>
          </cell>
        </row>
        <row r="458">
          <cell r="S458">
            <v>13.11</v>
          </cell>
        </row>
        <row r="459">
          <cell r="M459" t="str">
            <v>保山</v>
          </cell>
        </row>
        <row r="459">
          <cell r="S459">
            <v>22.15</v>
          </cell>
        </row>
        <row r="460">
          <cell r="M460" t="str">
            <v>话费</v>
          </cell>
        </row>
        <row r="460">
          <cell r="S460">
            <v>50</v>
          </cell>
        </row>
        <row r="461">
          <cell r="M461" t="str">
            <v>社交</v>
          </cell>
        </row>
        <row r="461">
          <cell r="S461">
            <v>-0.36</v>
          </cell>
        </row>
        <row r="462">
          <cell r="M462" t="str">
            <v>出行</v>
          </cell>
        </row>
        <row r="462">
          <cell r="S462">
            <v>460</v>
          </cell>
        </row>
        <row r="463">
          <cell r="M463" t="str">
            <v>出行</v>
          </cell>
        </row>
        <row r="463">
          <cell r="S463">
            <v>40</v>
          </cell>
        </row>
        <row r="464">
          <cell r="M464" t="str">
            <v>出行</v>
          </cell>
        </row>
        <row r="464">
          <cell r="S464">
            <v>12.27</v>
          </cell>
        </row>
        <row r="465">
          <cell r="M465" t="str">
            <v>保山</v>
          </cell>
        </row>
        <row r="465">
          <cell r="S465">
            <v>10</v>
          </cell>
        </row>
        <row r="466">
          <cell r="M466" t="str">
            <v>保山</v>
          </cell>
        </row>
        <row r="466">
          <cell r="S466">
            <v>198.7</v>
          </cell>
        </row>
        <row r="467">
          <cell r="M467" t="str">
            <v>保山</v>
          </cell>
        </row>
        <row r="467">
          <cell r="S467">
            <v>2.5</v>
          </cell>
        </row>
        <row r="468">
          <cell r="M468" t="str">
            <v>保山</v>
          </cell>
        </row>
        <row r="468">
          <cell r="S468">
            <v>220.22</v>
          </cell>
        </row>
        <row r="469">
          <cell r="M469" t="str">
            <v>出行</v>
          </cell>
        </row>
        <row r="469">
          <cell r="S469">
            <v>12.92</v>
          </cell>
        </row>
        <row r="470">
          <cell r="M470" t="str">
            <v>出行</v>
          </cell>
        </row>
        <row r="470">
          <cell r="S470">
            <v>13.02</v>
          </cell>
        </row>
        <row r="471">
          <cell r="M471" t="str">
            <v>出行</v>
          </cell>
        </row>
        <row r="471">
          <cell r="S471">
            <v>33.82</v>
          </cell>
        </row>
        <row r="472">
          <cell r="M472" t="str">
            <v>早餐</v>
          </cell>
        </row>
        <row r="472">
          <cell r="S472">
            <v>17</v>
          </cell>
        </row>
        <row r="473">
          <cell r="M473" t="str">
            <v>会员</v>
          </cell>
        </row>
        <row r="473">
          <cell r="S473">
            <v>15</v>
          </cell>
        </row>
        <row r="474">
          <cell r="M474" t="str">
            <v>出行</v>
          </cell>
        </row>
        <row r="474">
          <cell r="S474">
            <v>25.92</v>
          </cell>
        </row>
        <row r="475">
          <cell r="M475" t="str">
            <v>出行</v>
          </cell>
        </row>
        <row r="475">
          <cell r="S475">
            <v>9.9</v>
          </cell>
        </row>
        <row r="476">
          <cell r="M476" t="str">
            <v>日用</v>
          </cell>
        </row>
        <row r="476">
          <cell r="S476">
            <v>10</v>
          </cell>
        </row>
        <row r="477">
          <cell r="M477" t="str">
            <v>出行</v>
          </cell>
        </row>
        <row r="477">
          <cell r="S477">
            <v>1.8</v>
          </cell>
        </row>
        <row r="478">
          <cell r="M478" t="str">
            <v>出行</v>
          </cell>
        </row>
        <row r="478">
          <cell r="S478">
            <v>3.2</v>
          </cell>
        </row>
        <row r="479">
          <cell r="M479" t="str">
            <v>早餐</v>
          </cell>
        </row>
        <row r="479">
          <cell r="S479">
            <v>12</v>
          </cell>
        </row>
        <row r="480">
          <cell r="M480" t="str">
            <v>早餐</v>
          </cell>
        </row>
        <row r="480">
          <cell r="S480">
            <v>10</v>
          </cell>
        </row>
        <row r="481">
          <cell r="M481" t="str">
            <v>会员</v>
          </cell>
        </row>
        <row r="481">
          <cell r="S481">
            <v>30</v>
          </cell>
        </row>
        <row r="482">
          <cell r="M482" t="str">
            <v>话费</v>
          </cell>
        </row>
        <row r="482">
          <cell r="S482">
            <v>30</v>
          </cell>
        </row>
        <row r="483">
          <cell r="M483" t="str">
            <v>出行</v>
          </cell>
        </row>
        <row r="483">
          <cell r="S483">
            <v>1.8</v>
          </cell>
        </row>
        <row r="484">
          <cell r="M484" t="str">
            <v>日用</v>
          </cell>
        </row>
        <row r="484">
          <cell r="S484">
            <v>75</v>
          </cell>
        </row>
        <row r="485">
          <cell r="M485" t="str">
            <v>出行</v>
          </cell>
        </row>
        <row r="485">
          <cell r="S485">
            <v>1.8</v>
          </cell>
        </row>
        <row r="486">
          <cell r="M486" t="str">
            <v>早餐</v>
          </cell>
        </row>
        <row r="486">
          <cell r="S486">
            <v>10</v>
          </cell>
        </row>
        <row r="487">
          <cell r="M487" t="str">
            <v>早餐</v>
          </cell>
        </row>
        <row r="487">
          <cell r="S487">
            <v>14</v>
          </cell>
        </row>
        <row r="488">
          <cell r="M488" t="str">
            <v>日用</v>
          </cell>
        </row>
        <row r="488">
          <cell r="S488">
            <v>1</v>
          </cell>
        </row>
        <row r="489">
          <cell r="M489" t="str">
            <v>早餐</v>
          </cell>
        </row>
        <row r="489">
          <cell r="S489">
            <v>9.9</v>
          </cell>
        </row>
        <row r="490">
          <cell r="M490" t="str">
            <v>日用</v>
          </cell>
        </row>
        <row r="490">
          <cell r="S490">
            <v>6</v>
          </cell>
        </row>
        <row r="491">
          <cell r="M491" t="str">
            <v>日用</v>
          </cell>
        </row>
        <row r="491">
          <cell r="S491">
            <v>30.1</v>
          </cell>
        </row>
        <row r="492">
          <cell r="M492" t="str">
            <v>日用</v>
          </cell>
        </row>
        <row r="492">
          <cell r="S492">
            <v>3</v>
          </cell>
        </row>
        <row r="493">
          <cell r="M493" t="str">
            <v>早餐</v>
          </cell>
        </row>
        <row r="493">
          <cell r="S493">
            <v>10</v>
          </cell>
        </row>
        <row r="494">
          <cell r="M494" t="str">
            <v>出行</v>
          </cell>
        </row>
        <row r="494">
          <cell r="S494">
            <v>1.8</v>
          </cell>
        </row>
        <row r="495">
          <cell r="M495" t="str">
            <v>出行</v>
          </cell>
        </row>
        <row r="495">
          <cell r="S495">
            <v>3.6</v>
          </cell>
        </row>
        <row r="496">
          <cell r="M496" t="str">
            <v>出行</v>
          </cell>
        </row>
        <row r="496">
          <cell r="S496">
            <v>3.6</v>
          </cell>
        </row>
        <row r="497">
          <cell r="M497" t="str">
            <v>出行</v>
          </cell>
        </row>
        <row r="497">
          <cell r="S497">
            <v>1.8</v>
          </cell>
        </row>
        <row r="498">
          <cell r="M498" t="str">
            <v>早餐</v>
          </cell>
        </row>
        <row r="498">
          <cell r="S498">
            <v>10</v>
          </cell>
        </row>
        <row r="499">
          <cell r="M499" t="str">
            <v>话费</v>
          </cell>
        </row>
        <row r="499">
          <cell r="S499">
            <v>30</v>
          </cell>
        </row>
        <row r="500">
          <cell r="M500" t="str">
            <v>早餐</v>
          </cell>
        </row>
        <row r="500">
          <cell r="S500">
            <v>10</v>
          </cell>
        </row>
        <row r="501">
          <cell r="M501" t="str">
            <v>日用</v>
          </cell>
        </row>
        <row r="501">
          <cell r="S501">
            <v>4</v>
          </cell>
        </row>
        <row r="502">
          <cell r="M502" t="str">
            <v>日用</v>
          </cell>
        </row>
        <row r="502">
          <cell r="S502">
            <v>1</v>
          </cell>
        </row>
        <row r="503">
          <cell r="M503" t="str">
            <v>早餐</v>
          </cell>
        </row>
        <row r="503">
          <cell r="S503">
            <v>10</v>
          </cell>
        </row>
        <row r="504">
          <cell r="M504" t="str">
            <v>出行</v>
          </cell>
        </row>
        <row r="504">
          <cell r="S504">
            <v>1.8</v>
          </cell>
        </row>
        <row r="505">
          <cell r="M505" t="str">
            <v>日用</v>
          </cell>
        </row>
        <row r="505">
          <cell r="S505">
            <v>5.9</v>
          </cell>
        </row>
        <row r="506">
          <cell r="M506" t="str">
            <v>会员</v>
          </cell>
        </row>
        <row r="506">
          <cell r="S506">
            <v>25</v>
          </cell>
        </row>
        <row r="507">
          <cell r="M507" t="str">
            <v>早餐</v>
          </cell>
        </row>
        <row r="507">
          <cell r="S507">
            <v>12</v>
          </cell>
        </row>
        <row r="508">
          <cell r="M508" t="str">
            <v>日用</v>
          </cell>
        </row>
        <row r="508">
          <cell r="S508">
            <v>5</v>
          </cell>
        </row>
        <row r="509">
          <cell r="M509" t="str">
            <v>出行</v>
          </cell>
        </row>
        <row r="509">
          <cell r="S509">
            <v>1.8</v>
          </cell>
        </row>
        <row r="510">
          <cell r="M510" t="str">
            <v>话费</v>
          </cell>
        </row>
        <row r="510">
          <cell r="S510">
            <v>99.88</v>
          </cell>
        </row>
        <row r="511">
          <cell r="M511" t="str">
            <v>出行</v>
          </cell>
        </row>
        <row r="511">
          <cell r="S511">
            <v>3.6</v>
          </cell>
        </row>
        <row r="512">
          <cell r="M512" t="str">
            <v>早餐</v>
          </cell>
        </row>
        <row r="512">
          <cell r="S512">
            <v>11</v>
          </cell>
        </row>
        <row r="513">
          <cell r="M513" t="str">
            <v>小资</v>
          </cell>
        </row>
        <row r="513">
          <cell r="R513" t="str">
            <v>吃喝</v>
          </cell>
          <cell r="S513">
            <v>58.9</v>
          </cell>
        </row>
        <row r="514">
          <cell r="M514" t="str">
            <v>日用</v>
          </cell>
        </row>
        <row r="514">
          <cell r="S514">
            <v>8</v>
          </cell>
        </row>
        <row r="515">
          <cell r="M515" t="str">
            <v>出行</v>
          </cell>
        </row>
        <row r="515">
          <cell r="S515">
            <v>3.6</v>
          </cell>
        </row>
        <row r="516">
          <cell r="M516" t="str">
            <v>日用</v>
          </cell>
        </row>
        <row r="516">
          <cell r="S516">
            <v>10</v>
          </cell>
        </row>
        <row r="517">
          <cell r="M517" t="str">
            <v>早餐</v>
          </cell>
        </row>
        <row r="517">
          <cell r="S517">
            <v>3.5</v>
          </cell>
        </row>
        <row r="518">
          <cell r="M518" t="str">
            <v>出行</v>
          </cell>
        </row>
        <row r="518">
          <cell r="S518">
            <v>1.8</v>
          </cell>
        </row>
        <row r="519">
          <cell r="M519" t="str">
            <v>出行</v>
          </cell>
        </row>
        <row r="519">
          <cell r="S519">
            <v>3.6</v>
          </cell>
        </row>
        <row r="520">
          <cell r="M520" t="str">
            <v>早餐</v>
          </cell>
        </row>
        <row r="520">
          <cell r="S520">
            <v>11</v>
          </cell>
        </row>
        <row r="521">
          <cell r="M521" t="str">
            <v>出行</v>
          </cell>
        </row>
        <row r="521">
          <cell r="S521">
            <v>3.6</v>
          </cell>
        </row>
        <row r="522">
          <cell r="M522" t="str">
            <v>早餐</v>
          </cell>
        </row>
        <row r="522">
          <cell r="S522">
            <v>12</v>
          </cell>
        </row>
        <row r="523">
          <cell r="M523" t="str">
            <v>早餐</v>
          </cell>
        </row>
        <row r="523">
          <cell r="S523">
            <v>2.9</v>
          </cell>
        </row>
        <row r="524">
          <cell r="M524" t="str">
            <v>出行</v>
          </cell>
        </row>
        <row r="524">
          <cell r="S524">
            <v>1.8</v>
          </cell>
        </row>
        <row r="525">
          <cell r="M525" t="str">
            <v>出行</v>
          </cell>
        </row>
        <row r="525">
          <cell r="S525">
            <v>1.8</v>
          </cell>
        </row>
        <row r="526">
          <cell r="M526" t="str">
            <v>出行</v>
          </cell>
        </row>
        <row r="526">
          <cell r="S526">
            <v>4.5</v>
          </cell>
        </row>
        <row r="527">
          <cell r="M527" t="str">
            <v>出行</v>
          </cell>
        </row>
        <row r="527">
          <cell r="S527">
            <v>4.5</v>
          </cell>
        </row>
        <row r="528">
          <cell r="M528" t="str">
            <v>出行</v>
          </cell>
        </row>
        <row r="528">
          <cell r="S528">
            <v>1.8</v>
          </cell>
        </row>
        <row r="529">
          <cell r="M529" t="str">
            <v>出行</v>
          </cell>
        </row>
        <row r="529">
          <cell r="S529">
            <v>1.8</v>
          </cell>
        </row>
        <row r="530">
          <cell r="M530" t="str">
            <v>出行</v>
          </cell>
        </row>
        <row r="530">
          <cell r="S530">
            <v>3.6</v>
          </cell>
        </row>
        <row r="531">
          <cell r="M531" t="str">
            <v>早餐</v>
          </cell>
        </row>
        <row r="531">
          <cell r="S531">
            <v>11</v>
          </cell>
        </row>
        <row r="532">
          <cell r="M532" t="str">
            <v>日用</v>
          </cell>
        </row>
        <row r="532">
          <cell r="S532">
            <v>3</v>
          </cell>
        </row>
        <row r="533">
          <cell r="M533" t="str">
            <v>早餐</v>
          </cell>
        </row>
        <row r="533">
          <cell r="S533">
            <v>3.6</v>
          </cell>
        </row>
        <row r="534">
          <cell r="M534" t="str">
            <v>早餐</v>
          </cell>
        </row>
        <row r="534">
          <cell r="S534">
            <v>12</v>
          </cell>
        </row>
        <row r="535">
          <cell r="M535" t="str">
            <v>日用</v>
          </cell>
        </row>
        <row r="535">
          <cell r="S535">
            <v>10.1</v>
          </cell>
        </row>
        <row r="536">
          <cell r="M536" t="str">
            <v>出行</v>
          </cell>
        </row>
        <row r="536">
          <cell r="S536">
            <v>1.8</v>
          </cell>
        </row>
        <row r="537">
          <cell r="M537" t="str">
            <v>社交</v>
          </cell>
        </row>
        <row r="537">
          <cell r="S537">
            <v>50</v>
          </cell>
        </row>
        <row r="538">
          <cell r="M538" t="str">
            <v>社交</v>
          </cell>
        </row>
        <row r="538">
          <cell r="S538">
            <v>-15.58</v>
          </cell>
        </row>
        <row r="539">
          <cell r="M539" t="str">
            <v>话费</v>
          </cell>
        </row>
        <row r="539">
          <cell r="S539">
            <v>29.87</v>
          </cell>
        </row>
        <row r="540">
          <cell r="M540" t="str">
            <v>日用</v>
          </cell>
        </row>
        <row r="540">
          <cell r="S540">
            <v>7.5</v>
          </cell>
        </row>
        <row r="541">
          <cell r="M541" t="str">
            <v>日用</v>
          </cell>
        </row>
        <row r="541">
          <cell r="S541">
            <v>6</v>
          </cell>
        </row>
        <row r="542">
          <cell r="M542" t="str">
            <v>日用</v>
          </cell>
        </row>
        <row r="542">
          <cell r="S542">
            <v>186</v>
          </cell>
        </row>
        <row r="543">
          <cell r="M543" t="str">
            <v>社交</v>
          </cell>
        </row>
        <row r="543">
          <cell r="S543">
            <v>-13.98</v>
          </cell>
        </row>
        <row r="544">
          <cell r="M544" t="str">
            <v>日用</v>
          </cell>
        </row>
        <row r="544">
          <cell r="S544">
            <v>-0.16</v>
          </cell>
        </row>
        <row r="545">
          <cell r="M545" t="str">
            <v>社交</v>
          </cell>
        </row>
        <row r="545">
          <cell r="S545">
            <v>-1.82</v>
          </cell>
        </row>
        <row r="546">
          <cell r="M546" t="str">
            <v>日用</v>
          </cell>
        </row>
        <row r="546">
          <cell r="S546">
            <v>9.9</v>
          </cell>
        </row>
        <row r="547">
          <cell r="M547" t="str">
            <v>早餐</v>
          </cell>
        </row>
        <row r="547">
          <cell r="S547">
            <v>13</v>
          </cell>
        </row>
        <row r="548">
          <cell r="M548" t="str">
            <v>早餐</v>
          </cell>
        </row>
        <row r="548">
          <cell r="S548">
            <v>4</v>
          </cell>
        </row>
        <row r="549">
          <cell r="M549" t="str">
            <v>出行</v>
          </cell>
        </row>
        <row r="549">
          <cell r="S549">
            <v>1.8</v>
          </cell>
        </row>
        <row r="550">
          <cell r="M550" t="str">
            <v>游戏</v>
          </cell>
        </row>
        <row r="550">
          <cell r="S550">
            <v>1</v>
          </cell>
        </row>
        <row r="551">
          <cell r="M551" t="str">
            <v>日用</v>
          </cell>
        </row>
        <row r="551">
          <cell r="S551">
            <v>7.9</v>
          </cell>
        </row>
        <row r="552">
          <cell r="M552" t="str">
            <v>会员</v>
          </cell>
        </row>
        <row r="552">
          <cell r="S552">
            <v>15</v>
          </cell>
        </row>
        <row r="553">
          <cell r="M553" t="str">
            <v>早餐</v>
          </cell>
        </row>
        <row r="553">
          <cell r="S553">
            <v>10</v>
          </cell>
        </row>
        <row r="554">
          <cell r="M554" t="str">
            <v>出行</v>
          </cell>
        </row>
        <row r="554">
          <cell r="S554">
            <v>1.8</v>
          </cell>
        </row>
        <row r="555">
          <cell r="M555" t="str">
            <v>社交</v>
          </cell>
        </row>
        <row r="555">
          <cell r="S555">
            <v>52</v>
          </cell>
        </row>
        <row r="556">
          <cell r="M556" t="str">
            <v>社交</v>
          </cell>
        </row>
        <row r="556">
          <cell r="S556">
            <v>171</v>
          </cell>
        </row>
        <row r="557">
          <cell r="M557" t="str">
            <v>社交</v>
          </cell>
        </row>
        <row r="557">
          <cell r="S557">
            <v>29.9</v>
          </cell>
        </row>
        <row r="558">
          <cell r="M558" t="str">
            <v>早餐</v>
          </cell>
        </row>
        <row r="558">
          <cell r="S558">
            <v>10</v>
          </cell>
        </row>
        <row r="559">
          <cell r="M559" t="str">
            <v>社交</v>
          </cell>
        </row>
        <row r="559">
          <cell r="S559">
            <v>-3.57</v>
          </cell>
        </row>
        <row r="560">
          <cell r="M560" t="str">
            <v>晚餐</v>
          </cell>
        </row>
        <row r="560">
          <cell r="S560">
            <v>10</v>
          </cell>
        </row>
        <row r="561">
          <cell r="M561" t="str">
            <v>出行</v>
          </cell>
        </row>
        <row r="561">
          <cell r="S561">
            <v>3.6</v>
          </cell>
        </row>
        <row r="562">
          <cell r="M562" t="str">
            <v>晚餐</v>
          </cell>
        </row>
        <row r="562">
          <cell r="S562">
            <v>14</v>
          </cell>
        </row>
        <row r="563">
          <cell r="M563" t="str">
            <v>晚餐</v>
          </cell>
        </row>
        <row r="563">
          <cell r="S563">
            <v>4</v>
          </cell>
        </row>
        <row r="564">
          <cell r="M564" t="str">
            <v>晚餐</v>
          </cell>
        </row>
        <row r="564">
          <cell r="S564">
            <v>14</v>
          </cell>
        </row>
        <row r="565">
          <cell r="M565" t="str">
            <v>出行</v>
          </cell>
        </row>
        <row r="565">
          <cell r="S565">
            <v>3.6</v>
          </cell>
        </row>
        <row r="566">
          <cell r="M566" t="str">
            <v>副入</v>
          </cell>
        </row>
        <row r="566">
          <cell r="S566">
            <v>-6000</v>
          </cell>
        </row>
        <row r="567">
          <cell r="M567" t="str">
            <v>副投</v>
          </cell>
        </row>
        <row r="567">
          <cell r="S567">
            <v>6000</v>
          </cell>
        </row>
        <row r="568">
          <cell r="M568" t="str">
            <v>晚餐</v>
          </cell>
        </row>
        <row r="568">
          <cell r="S568">
            <v>17.4</v>
          </cell>
        </row>
        <row r="569">
          <cell r="M569" t="str">
            <v>晚餐</v>
          </cell>
        </row>
        <row r="569">
          <cell r="S569">
            <v>10</v>
          </cell>
        </row>
        <row r="570">
          <cell r="M570" t="str">
            <v>晚餐</v>
          </cell>
        </row>
        <row r="570">
          <cell r="S570">
            <v>13</v>
          </cell>
        </row>
        <row r="571">
          <cell r="M571" t="str">
            <v>小资</v>
          </cell>
        </row>
        <row r="571">
          <cell r="R571" t="str">
            <v>吃喝</v>
          </cell>
          <cell r="S571">
            <v>7</v>
          </cell>
        </row>
        <row r="572">
          <cell r="M572" t="str">
            <v>晚餐</v>
          </cell>
        </row>
        <row r="572">
          <cell r="S572">
            <v>14</v>
          </cell>
        </row>
        <row r="573">
          <cell r="M573" t="str">
            <v>日用</v>
          </cell>
        </row>
        <row r="573">
          <cell r="S573">
            <v>45</v>
          </cell>
        </row>
        <row r="574">
          <cell r="M574" t="str">
            <v>小资</v>
          </cell>
        </row>
        <row r="574">
          <cell r="R574" t="str">
            <v>吃喝</v>
          </cell>
          <cell r="S574">
            <v>5</v>
          </cell>
        </row>
        <row r="575">
          <cell r="M575" t="str">
            <v>社交</v>
          </cell>
        </row>
        <row r="575">
          <cell r="S575">
            <v>11.8</v>
          </cell>
        </row>
        <row r="576">
          <cell r="M576" t="str">
            <v>社交</v>
          </cell>
        </row>
        <row r="576">
          <cell r="S576">
            <v>23.68</v>
          </cell>
        </row>
        <row r="577">
          <cell r="M577" t="str">
            <v>社交</v>
          </cell>
        </row>
        <row r="577">
          <cell r="S577">
            <v>9.9</v>
          </cell>
        </row>
        <row r="578">
          <cell r="M578" t="str">
            <v>晚餐</v>
          </cell>
        </row>
        <row r="578">
          <cell r="S578">
            <v>18</v>
          </cell>
        </row>
        <row r="579">
          <cell r="M579" t="str">
            <v>晚餐</v>
          </cell>
        </row>
        <row r="579">
          <cell r="S579">
            <v>3</v>
          </cell>
        </row>
        <row r="580">
          <cell r="M580" t="str">
            <v>晚餐</v>
          </cell>
        </row>
        <row r="580">
          <cell r="S580">
            <v>13</v>
          </cell>
        </row>
        <row r="581">
          <cell r="M581" t="str">
            <v>晚餐</v>
          </cell>
        </row>
        <row r="581">
          <cell r="S581">
            <v>4</v>
          </cell>
        </row>
        <row r="582">
          <cell r="M582" t="str">
            <v>社交</v>
          </cell>
        </row>
        <row r="582">
          <cell r="S582">
            <v>82</v>
          </cell>
        </row>
        <row r="583">
          <cell r="M583" t="str">
            <v>晚餐</v>
          </cell>
        </row>
        <row r="583">
          <cell r="S583">
            <v>7</v>
          </cell>
        </row>
        <row r="584">
          <cell r="M584" t="str">
            <v>晚餐</v>
          </cell>
        </row>
        <row r="584">
          <cell r="S584">
            <v>11</v>
          </cell>
        </row>
        <row r="585">
          <cell r="M585" t="str">
            <v>晚餐</v>
          </cell>
        </row>
        <row r="585">
          <cell r="S585">
            <v>20</v>
          </cell>
        </row>
        <row r="586">
          <cell r="M586" t="str">
            <v>晚餐</v>
          </cell>
        </row>
        <row r="586">
          <cell r="S586">
            <v>15</v>
          </cell>
        </row>
        <row r="587">
          <cell r="M587" t="str">
            <v>晚餐</v>
          </cell>
        </row>
        <row r="587">
          <cell r="S587">
            <v>3</v>
          </cell>
        </row>
        <row r="588">
          <cell r="M588" t="str">
            <v>晚餐</v>
          </cell>
        </row>
        <row r="588">
          <cell r="S588">
            <v>13</v>
          </cell>
        </row>
        <row r="589">
          <cell r="M589" t="str">
            <v>晚餐</v>
          </cell>
        </row>
        <row r="589">
          <cell r="S589">
            <v>2.5</v>
          </cell>
        </row>
        <row r="590">
          <cell r="M590" t="str">
            <v>晚餐</v>
          </cell>
        </row>
        <row r="590">
          <cell r="S590">
            <v>15</v>
          </cell>
        </row>
        <row r="591">
          <cell r="M591" t="str">
            <v>社交</v>
          </cell>
        </row>
        <row r="591">
          <cell r="S591">
            <v>9.9</v>
          </cell>
        </row>
        <row r="592">
          <cell r="M592" t="str">
            <v>话费</v>
          </cell>
        </row>
        <row r="592">
          <cell r="S592">
            <v>30</v>
          </cell>
        </row>
        <row r="593">
          <cell r="M593" t="str">
            <v>晚餐</v>
          </cell>
        </row>
        <row r="593">
          <cell r="S593">
            <v>3</v>
          </cell>
        </row>
        <row r="594">
          <cell r="M594" t="str">
            <v>晚餐</v>
          </cell>
        </row>
        <row r="594">
          <cell r="S594">
            <v>14</v>
          </cell>
        </row>
        <row r="595">
          <cell r="M595" t="str">
            <v>话费</v>
          </cell>
        </row>
        <row r="595">
          <cell r="S595">
            <v>50</v>
          </cell>
        </row>
        <row r="596">
          <cell r="M596" t="str">
            <v>出行</v>
          </cell>
        </row>
        <row r="596">
          <cell r="S596">
            <v>3.6</v>
          </cell>
        </row>
        <row r="597">
          <cell r="M597" t="str">
            <v>晚餐</v>
          </cell>
        </row>
        <row r="597">
          <cell r="S597">
            <v>13</v>
          </cell>
        </row>
        <row r="598">
          <cell r="M598" t="str">
            <v>出行</v>
          </cell>
        </row>
        <row r="598">
          <cell r="S598">
            <v>3.6</v>
          </cell>
        </row>
        <row r="599">
          <cell r="M599" t="str">
            <v>晚餐</v>
          </cell>
        </row>
        <row r="599">
          <cell r="S599">
            <v>10</v>
          </cell>
        </row>
        <row r="600">
          <cell r="M600" t="str">
            <v>晚餐</v>
          </cell>
        </row>
        <row r="600">
          <cell r="S600">
            <v>5</v>
          </cell>
        </row>
        <row r="601">
          <cell r="M601" t="str">
            <v>晚餐</v>
          </cell>
        </row>
        <row r="601">
          <cell r="S601">
            <v>10</v>
          </cell>
        </row>
        <row r="602">
          <cell r="M602" t="str">
            <v>晚餐</v>
          </cell>
        </row>
        <row r="602">
          <cell r="S602">
            <v>4</v>
          </cell>
        </row>
        <row r="603">
          <cell r="M603" t="str">
            <v>晚餐</v>
          </cell>
        </row>
        <row r="603">
          <cell r="S603">
            <v>15</v>
          </cell>
        </row>
        <row r="604">
          <cell r="M604" t="str">
            <v>小资</v>
          </cell>
        </row>
        <row r="604">
          <cell r="R604" t="str">
            <v>吃喝</v>
          </cell>
          <cell r="S604">
            <v>7</v>
          </cell>
        </row>
        <row r="605">
          <cell r="M605" t="str">
            <v>晚餐</v>
          </cell>
        </row>
        <row r="605">
          <cell r="S605">
            <v>3</v>
          </cell>
        </row>
        <row r="606">
          <cell r="M606" t="str">
            <v>晚餐</v>
          </cell>
        </row>
        <row r="606">
          <cell r="S606">
            <v>11.5</v>
          </cell>
        </row>
        <row r="607">
          <cell r="M607" t="str">
            <v>出行</v>
          </cell>
        </row>
        <row r="607">
          <cell r="S607">
            <v>2.7</v>
          </cell>
        </row>
        <row r="608">
          <cell r="M608" t="str">
            <v>出行</v>
          </cell>
        </row>
        <row r="608">
          <cell r="S608">
            <v>2.7</v>
          </cell>
        </row>
        <row r="609">
          <cell r="M609" t="str">
            <v>社交</v>
          </cell>
        </row>
        <row r="609">
          <cell r="S609">
            <v>42</v>
          </cell>
        </row>
        <row r="610">
          <cell r="M610" t="str">
            <v>会员</v>
          </cell>
        </row>
        <row r="610">
          <cell r="S610">
            <v>15</v>
          </cell>
        </row>
        <row r="611">
          <cell r="M611" t="str">
            <v>晚餐</v>
          </cell>
        </row>
        <row r="611">
          <cell r="S611">
            <v>10</v>
          </cell>
        </row>
        <row r="612">
          <cell r="M612" t="str">
            <v>出行</v>
          </cell>
        </row>
        <row r="612">
          <cell r="S612">
            <v>3.2</v>
          </cell>
        </row>
        <row r="613">
          <cell r="M613" t="str">
            <v>晚餐</v>
          </cell>
        </row>
        <row r="613">
          <cell r="S613">
            <v>11</v>
          </cell>
        </row>
        <row r="614">
          <cell r="M614" t="str">
            <v>出行</v>
          </cell>
        </row>
        <row r="614">
          <cell r="S614">
            <v>3.2</v>
          </cell>
        </row>
        <row r="615">
          <cell r="M615" t="str">
            <v>晚餐</v>
          </cell>
        </row>
        <row r="615">
          <cell r="S615">
            <v>16</v>
          </cell>
        </row>
        <row r="616">
          <cell r="M616" t="str">
            <v>晚餐</v>
          </cell>
        </row>
        <row r="616">
          <cell r="S616">
            <v>5</v>
          </cell>
        </row>
        <row r="617">
          <cell r="M617" t="str">
            <v>晚餐</v>
          </cell>
        </row>
        <row r="617">
          <cell r="S617">
            <v>60</v>
          </cell>
        </row>
        <row r="618">
          <cell r="M618" t="str">
            <v>晚餐</v>
          </cell>
        </row>
        <row r="618">
          <cell r="S618">
            <v>-60</v>
          </cell>
        </row>
        <row r="619">
          <cell r="M619" t="str">
            <v>小资</v>
          </cell>
        </row>
        <row r="619">
          <cell r="R619" t="str">
            <v>吃喝</v>
          </cell>
          <cell r="S619">
            <v>9</v>
          </cell>
        </row>
        <row r="620">
          <cell r="M620" t="str">
            <v>晚餐</v>
          </cell>
        </row>
        <row r="620">
          <cell r="S620">
            <v>4</v>
          </cell>
        </row>
        <row r="621">
          <cell r="M621" t="str">
            <v>晚餐</v>
          </cell>
        </row>
        <row r="621">
          <cell r="S621">
            <v>3.5</v>
          </cell>
        </row>
        <row r="622">
          <cell r="M622" t="str">
            <v>出行</v>
          </cell>
        </row>
        <row r="622">
          <cell r="S622">
            <v>3.6</v>
          </cell>
        </row>
        <row r="623">
          <cell r="M623" t="str">
            <v>晚餐</v>
          </cell>
        </row>
        <row r="623">
          <cell r="S623">
            <v>13</v>
          </cell>
        </row>
        <row r="624">
          <cell r="M624" t="str">
            <v>晚餐</v>
          </cell>
        </row>
        <row r="624">
          <cell r="S624">
            <v>11</v>
          </cell>
        </row>
        <row r="625">
          <cell r="M625" t="str">
            <v>出行</v>
          </cell>
        </row>
        <row r="625">
          <cell r="S625">
            <v>3.6</v>
          </cell>
        </row>
        <row r="626">
          <cell r="M626" t="str">
            <v>小资</v>
          </cell>
        </row>
        <row r="626">
          <cell r="R626" t="str">
            <v>吃喝</v>
          </cell>
          <cell r="S626">
            <v>9</v>
          </cell>
        </row>
        <row r="627">
          <cell r="M627" t="str">
            <v>会员</v>
          </cell>
        </row>
        <row r="627">
          <cell r="S627">
            <v>6</v>
          </cell>
        </row>
        <row r="628">
          <cell r="M628" t="str">
            <v>晚餐</v>
          </cell>
        </row>
        <row r="628">
          <cell r="S628">
            <v>10</v>
          </cell>
        </row>
        <row r="629">
          <cell r="M629" t="str">
            <v>恋爱</v>
          </cell>
        </row>
        <row r="629">
          <cell r="R629" t="str">
            <v>城内</v>
          </cell>
          <cell r="S629">
            <v>1.8</v>
          </cell>
        </row>
        <row r="630">
          <cell r="M630" t="str">
            <v>恋爱</v>
          </cell>
        </row>
        <row r="630">
          <cell r="R630" t="str">
            <v>吃喝</v>
          </cell>
          <cell r="S630">
            <v>167</v>
          </cell>
        </row>
        <row r="631">
          <cell r="M631" t="str">
            <v>恋爱</v>
          </cell>
        </row>
        <row r="631">
          <cell r="R631" t="str">
            <v>吃喝</v>
          </cell>
          <cell r="S631">
            <v>146</v>
          </cell>
        </row>
        <row r="632">
          <cell r="M632" t="str">
            <v>恋爱</v>
          </cell>
        </row>
        <row r="632">
          <cell r="R632" t="str">
            <v>吃喝</v>
          </cell>
          <cell r="S632">
            <v>60</v>
          </cell>
        </row>
        <row r="633">
          <cell r="M633" t="str">
            <v>恋爱</v>
          </cell>
        </row>
        <row r="633">
          <cell r="R633" t="str">
            <v>城内</v>
          </cell>
          <cell r="S633">
            <v>10.92</v>
          </cell>
        </row>
        <row r="634">
          <cell r="M634" t="str">
            <v>恋爱</v>
          </cell>
        </row>
        <row r="634">
          <cell r="R634" t="str">
            <v>城内</v>
          </cell>
          <cell r="S634">
            <v>3.6</v>
          </cell>
        </row>
        <row r="635">
          <cell r="M635" t="str">
            <v>恋爱</v>
          </cell>
        </row>
        <row r="635">
          <cell r="R635" t="str">
            <v>吃喝</v>
          </cell>
          <cell r="S635">
            <v>42</v>
          </cell>
        </row>
        <row r="636">
          <cell r="M636" t="str">
            <v>恋爱</v>
          </cell>
        </row>
        <row r="636">
          <cell r="R636" t="str">
            <v>吃喝</v>
          </cell>
          <cell r="S636">
            <v>12</v>
          </cell>
        </row>
        <row r="637">
          <cell r="M637" t="str">
            <v>恋爱</v>
          </cell>
        </row>
        <row r="637">
          <cell r="R637" t="str">
            <v>吃喝</v>
          </cell>
          <cell r="S637">
            <v>154</v>
          </cell>
        </row>
        <row r="638">
          <cell r="M638" t="str">
            <v>恋爱</v>
          </cell>
        </row>
        <row r="638">
          <cell r="R638" t="str">
            <v>吃喝</v>
          </cell>
          <cell r="S638">
            <v>15</v>
          </cell>
        </row>
        <row r="639">
          <cell r="M639" t="str">
            <v>恋爱</v>
          </cell>
        </row>
        <row r="639">
          <cell r="R639" t="str">
            <v>吃喝</v>
          </cell>
          <cell r="S639">
            <v>15</v>
          </cell>
        </row>
        <row r="640">
          <cell r="M640" t="str">
            <v>恋爱</v>
          </cell>
        </row>
        <row r="640">
          <cell r="R640" t="str">
            <v>吃喝</v>
          </cell>
          <cell r="S640">
            <v>45</v>
          </cell>
        </row>
        <row r="641">
          <cell r="M641" t="str">
            <v>恋爱</v>
          </cell>
        </row>
        <row r="641">
          <cell r="R641" t="str">
            <v>城内</v>
          </cell>
          <cell r="S641">
            <v>15.04</v>
          </cell>
        </row>
        <row r="642">
          <cell r="M642" t="str">
            <v>恋爱</v>
          </cell>
        </row>
        <row r="642">
          <cell r="R642" t="str">
            <v>城际</v>
          </cell>
          <cell r="S642">
            <v>256</v>
          </cell>
        </row>
        <row r="643">
          <cell r="M643" t="str">
            <v>恋爱</v>
          </cell>
        </row>
        <row r="643">
          <cell r="R643" t="str">
            <v>吃喝</v>
          </cell>
          <cell r="S643">
            <v>26</v>
          </cell>
        </row>
        <row r="644">
          <cell r="M644" t="str">
            <v>恋爱</v>
          </cell>
        </row>
        <row r="644">
          <cell r="R644" t="str">
            <v>城内</v>
          </cell>
          <cell r="S644">
            <v>10.99</v>
          </cell>
        </row>
        <row r="645">
          <cell r="M645" t="str">
            <v>恋爱</v>
          </cell>
        </row>
        <row r="645">
          <cell r="R645" t="str">
            <v>吃喝</v>
          </cell>
          <cell r="S645">
            <v>10</v>
          </cell>
        </row>
        <row r="646">
          <cell r="M646" t="str">
            <v>恋爱</v>
          </cell>
        </row>
        <row r="646">
          <cell r="R646" t="str">
            <v>吃喝</v>
          </cell>
          <cell r="S646">
            <v>97</v>
          </cell>
        </row>
        <row r="647">
          <cell r="M647" t="str">
            <v>恋爱</v>
          </cell>
        </row>
        <row r="647">
          <cell r="R647" t="str">
            <v>吃喝</v>
          </cell>
          <cell r="S647">
            <v>25</v>
          </cell>
        </row>
        <row r="648">
          <cell r="M648" t="str">
            <v>恋爱</v>
          </cell>
        </row>
        <row r="648">
          <cell r="R648" t="str">
            <v>城内</v>
          </cell>
          <cell r="S648">
            <v>24.53</v>
          </cell>
        </row>
        <row r="649">
          <cell r="M649" t="str">
            <v>恋爱</v>
          </cell>
        </row>
        <row r="649">
          <cell r="R649" t="str">
            <v>城内</v>
          </cell>
          <cell r="S649">
            <v>2.7</v>
          </cell>
        </row>
        <row r="650">
          <cell r="M650" t="str">
            <v>恋爱</v>
          </cell>
        </row>
        <row r="650">
          <cell r="R650" t="str">
            <v>游玩</v>
          </cell>
          <cell r="S650">
            <v>500</v>
          </cell>
        </row>
        <row r="651">
          <cell r="M651" t="str">
            <v>恋爱</v>
          </cell>
        </row>
        <row r="651">
          <cell r="R651" t="str">
            <v>城际</v>
          </cell>
          <cell r="S651">
            <v>102</v>
          </cell>
        </row>
        <row r="652">
          <cell r="M652" t="str">
            <v>恋爱</v>
          </cell>
        </row>
        <row r="652">
          <cell r="R652" t="str">
            <v>消费</v>
          </cell>
          <cell r="S652">
            <v>130</v>
          </cell>
        </row>
        <row r="653">
          <cell r="M653" t="str">
            <v>恋爱</v>
          </cell>
        </row>
        <row r="653">
          <cell r="R653" t="str">
            <v>吃喝</v>
          </cell>
          <cell r="S653">
            <v>4</v>
          </cell>
        </row>
        <row r="654">
          <cell r="M654" t="str">
            <v>恋爱</v>
          </cell>
        </row>
        <row r="654">
          <cell r="R654" t="str">
            <v>吃喝</v>
          </cell>
          <cell r="S654">
            <v>49</v>
          </cell>
        </row>
        <row r="655">
          <cell r="M655" t="str">
            <v>恋爱</v>
          </cell>
        </row>
        <row r="655">
          <cell r="R655" t="str">
            <v>城内</v>
          </cell>
          <cell r="S655">
            <v>23.94</v>
          </cell>
        </row>
        <row r="656">
          <cell r="M656" t="str">
            <v>恋爱</v>
          </cell>
        </row>
        <row r="656">
          <cell r="R656" t="str">
            <v>吃喝</v>
          </cell>
          <cell r="S656">
            <v>84</v>
          </cell>
        </row>
        <row r="657">
          <cell r="M657" t="str">
            <v>恋爱</v>
          </cell>
        </row>
        <row r="657">
          <cell r="R657" t="str">
            <v>吃喝</v>
          </cell>
          <cell r="S657">
            <v>188</v>
          </cell>
        </row>
        <row r="658">
          <cell r="M658" t="str">
            <v>恋爱</v>
          </cell>
        </row>
        <row r="658">
          <cell r="R658" t="str">
            <v>吃喝</v>
          </cell>
          <cell r="S658">
            <v>19.9</v>
          </cell>
        </row>
        <row r="659">
          <cell r="M659" t="str">
            <v>恋爱</v>
          </cell>
        </row>
        <row r="659">
          <cell r="R659" t="str">
            <v>吃喝</v>
          </cell>
          <cell r="S659">
            <v>26</v>
          </cell>
        </row>
        <row r="660">
          <cell r="M660" t="str">
            <v>恋爱</v>
          </cell>
        </row>
        <row r="660">
          <cell r="R660" t="str">
            <v>吃喝</v>
          </cell>
          <cell r="S660">
            <v>67</v>
          </cell>
        </row>
        <row r="661">
          <cell r="M661" t="str">
            <v>恋爱</v>
          </cell>
        </row>
        <row r="661">
          <cell r="R661" t="str">
            <v>城内</v>
          </cell>
          <cell r="S661">
            <v>37</v>
          </cell>
        </row>
        <row r="662">
          <cell r="M662" t="str">
            <v>恋爱</v>
          </cell>
        </row>
        <row r="662">
          <cell r="R662" t="str">
            <v>吃喝</v>
          </cell>
          <cell r="S662">
            <v>46</v>
          </cell>
        </row>
        <row r="663">
          <cell r="M663" t="str">
            <v>恋爱</v>
          </cell>
        </row>
        <row r="663">
          <cell r="R663" t="str">
            <v>城际</v>
          </cell>
          <cell r="S663">
            <v>450</v>
          </cell>
        </row>
        <row r="664">
          <cell r="M664" t="str">
            <v>恋爱</v>
          </cell>
        </row>
        <row r="664">
          <cell r="R664" t="str">
            <v>吃喝</v>
          </cell>
          <cell r="S664">
            <v>3</v>
          </cell>
        </row>
        <row r="665">
          <cell r="M665" t="str">
            <v>恋爱</v>
          </cell>
        </row>
        <row r="665">
          <cell r="R665" t="str">
            <v>城际</v>
          </cell>
          <cell r="S665">
            <v>102</v>
          </cell>
        </row>
        <row r="666">
          <cell r="M666" t="str">
            <v>恋爱</v>
          </cell>
        </row>
        <row r="666">
          <cell r="R666" t="str">
            <v>城内</v>
          </cell>
          <cell r="S666">
            <v>35.76</v>
          </cell>
        </row>
        <row r="667">
          <cell r="M667" t="str">
            <v>恋爱</v>
          </cell>
        </row>
        <row r="667">
          <cell r="R667" t="str">
            <v>城内</v>
          </cell>
          <cell r="S667">
            <v>2.7</v>
          </cell>
        </row>
        <row r="668">
          <cell r="M668" t="str">
            <v>恋爱</v>
          </cell>
        </row>
        <row r="668">
          <cell r="R668" t="str">
            <v>吃喝</v>
          </cell>
          <cell r="S668">
            <v>109</v>
          </cell>
        </row>
        <row r="669">
          <cell r="M669" t="str">
            <v>恋爱</v>
          </cell>
        </row>
        <row r="669">
          <cell r="R669" t="str">
            <v>吃喝</v>
          </cell>
          <cell r="S669">
            <v>10</v>
          </cell>
        </row>
        <row r="670">
          <cell r="M670" t="str">
            <v>恋爱</v>
          </cell>
        </row>
        <row r="670">
          <cell r="R670" t="str">
            <v>城内</v>
          </cell>
          <cell r="S670">
            <v>1.8</v>
          </cell>
        </row>
        <row r="671">
          <cell r="M671" t="str">
            <v>恋爱</v>
          </cell>
        </row>
        <row r="671">
          <cell r="R671" t="str">
            <v>城内</v>
          </cell>
          <cell r="S671">
            <v>3.6</v>
          </cell>
        </row>
        <row r="672">
          <cell r="M672" t="str">
            <v>恋爱</v>
          </cell>
        </row>
        <row r="672">
          <cell r="R672" t="str">
            <v>吃喝</v>
          </cell>
          <cell r="S672">
            <v>37</v>
          </cell>
        </row>
        <row r="673">
          <cell r="M673" t="str">
            <v>恋爱</v>
          </cell>
        </row>
        <row r="673">
          <cell r="R673" t="str">
            <v>吃喝</v>
          </cell>
          <cell r="S673">
            <v>5</v>
          </cell>
        </row>
        <row r="674">
          <cell r="M674" t="str">
            <v>恋爱</v>
          </cell>
        </row>
        <row r="674">
          <cell r="R674" t="str">
            <v>吃喝</v>
          </cell>
          <cell r="S674">
            <v>14</v>
          </cell>
        </row>
        <row r="675">
          <cell r="M675" t="str">
            <v>恋爱</v>
          </cell>
        </row>
        <row r="675">
          <cell r="R675" t="str">
            <v>吃喝</v>
          </cell>
          <cell r="S675">
            <v>11</v>
          </cell>
        </row>
        <row r="676">
          <cell r="M676" t="str">
            <v>恋爱</v>
          </cell>
        </row>
        <row r="676">
          <cell r="R676" t="str">
            <v>吃喝</v>
          </cell>
          <cell r="S676">
            <v>68</v>
          </cell>
        </row>
        <row r="677">
          <cell r="M677" t="str">
            <v>恋爱</v>
          </cell>
        </row>
        <row r="677">
          <cell r="R677" t="str">
            <v>礼物</v>
          </cell>
          <cell r="S677">
            <v>298</v>
          </cell>
        </row>
        <row r="678">
          <cell r="M678" t="str">
            <v>恋爱</v>
          </cell>
        </row>
        <row r="678">
          <cell r="R678" t="str">
            <v>礼物</v>
          </cell>
          <cell r="S678">
            <v>69</v>
          </cell>
        </row>
        <row r="679">
          <cell r="M679" t="str">
            <v>恋爱</v>
          </cell>
        </row>
        <row r="679">
          <cell r="R679" t="str">
            <v>吃喝</v>
          </cell>
          <cell r="S679">
            <v>34</v>
          </cell>
        </row>
        <row r="680">
          <cell r="M680" t="str">
            <v>恋爱</v>
          </cell>
        </row>
        <row r="680">
          <cell r="R680" t="str">
            <v>吃喝</v>
          </cell>
          <cell r="S680">
            <v>18</v>
          </cell>
        </row>
        <row r="681">
          <cell r="M681" t="str">
            <v>恋爱</v>
          </cell>
        </row>
        <row r="681">
          <cell r="R681" t="str">
            <v>城内</v>
          </cell>
          <cell r="S681">
            <v>9.53</v>
          </cell>
        </row>
        <row r="682">
          <cell r="M682" t="str">
            <v>恋爱</v>
          </cell>
        </row>
        <row r="682">
          <cell r="R682" t="str">
            <v>城内</v>
          </cell>
          <cell r="S682">
            <v>14.75</v>
          </cell>
        </row>
        <row r="683">
          <cell r="M683" t="str">
            <v>恋爱</v>
          </cell>
        </row>
        <row r="683">
          <cell r="R683" t="str">
            <v>城内</v>
          </cell>
          <cell r="S683">
            <v>9.9</v>
          </cell>
        </row>
        <row r="684">
          <cell r="M684" t="str">
            <v>恋爱</v>
          </cell>
        </row>
        <row r="684">
          <cell r="R684" t="str">
            <v>城内</v>
          </cell>
          <cell r="S684">
            <v>9.9</v>
          </cell>
        </row>
        <row r="685">
          <cell r="M685" t="str">
            <v>晚餐</v>
          </cell>
        </row>
        <row r="685">
          <cell r="S685">
            <v>13</v>
          </cell>
        </row>
        <row r="686">
          <cell r="M686" t="str">
            <v>晚餐</v>
          </cell>
        </row>
        <row r="686">
          <cell r="S686">
            <v>4</v>
          </cell>
        </row>
        <row r="687">
          <cell r="M687" t="str">
            <v>晚餐</v>
          </cell>
        </row>
        <row r="687">
          <cell r="S687">
            <v>13</v>
          </cell>
        </row>
        <row r="688">
          <cell r="M688" t="str">
            <v>晚餐</v>
          </cell>
        </row>
        <row r="688">
          <cell r="S688">
            <v>15</v>
          </cell>
        </row>
        <row r="689">
          <cell r="M689" t="str">
            <v>小资</v>
          </cell>
        </row>
        <row r="689">
          <cell r="R689" t="str">
            <v>吃喝</v>
          </cell>
          <cell r="S689">
            <v>2</v>
          </cell>
        </row>
        <row r="690">
          <cell r="M690" t="str">
            <v>出行</v>
          </cell>
        </row>
        <row r="690">
          <cell r="S690">
            <v>3.6</v>
          </cell>
        </row>
        <row r="691">
          <cell r="M691" t="str">
            <v>晚餐</v>
          </cell>
        </row>
        <row r="691">
          <cell r="S691">
            <v>13</v>
          </cell>
        </row>
        <row r="692">
          <cell r="M692" t="str">
            <v>晚餐</v>
          </cell>
        </row>
        <row r="692">
          <cell r="S692">
            <v>3</v>
          </cell>
        </row>
        <row r="693">
          <cell r="M693" t="str">
            <v>出行</v>
          </cell>
        </row>
        <row r="693">
          <cell r="S693">
            <v>3.6</v>
          </cell>
        </row>
        <row r="694">
          <cell r="M694" t="str">
            <v>话费</v>
          </cell>
        </row>
        <row r="694">
          <cell r="S694">
            <v>50</v>
          </cell>
        </row>
        <row r="695">
          <cell r="M695" t="str">
            <v>出行</v>
          </cell>
        </row>
        <row r="695">
          <cell r="S695">
            <v>1.8</v>
          </cell>
        </row>
        <row r="696">
          <cell r="M696" t="str">
            <v>晚餐</v>
          </cell>
        </row>
        <row r="696">
          <cell r="S696">
            <v>12</v>
          </cell>
        </row>
        <row r="697">
          <cell r="M697" t="str">
            <v>小资</v>
          </cell>
        </row>
        <row r="697">
          <cell r="R697" t="str">
            <v>吃喝</v>
          </cell>
          <cell r="S697">
            <v>7</v>
          </cell>
        </row>
        <row r="698">
          <cell r="M698" t="str">
            <v>出行</v>
          </cell>
        </row>
        <row r="698">
          <cell r="S698">
            <v>1.8</v>
          </cell>
        </row>
        <row r="699">
          <cell r="M699" t="str">
            <v>出行</v>
          </cell>
        </row>
        <row r="699">
          <cell r="S699">
            <v>1.8</v>
          </cell>
        </row>
        <row r="700">
          <cell r="M700" t="str">
            <v>话费</v>
          </cell>
        </row>
        <row r="700">
          <cell r="S700">
            <v>30</v>
          </cell>
        </row>
        <row r="701">
          <cell r="M701" t="str">
            <v>晚餐</v>
          </cell>
        </row>
        <row r="701">
          <cell r="S701">
            <v>5</v>
          </cell>
        </row>
        <row r="702">
          <cell r="M702" t="str">
            <v>晚餐</v>
          </cell>
        </row>
        <row r="702">
          <cell r="S702">
            <v>10</v>
          </cell>
        </row>
        <row r="703">
          <cell r="M703" t="str">
            <v>晚餐</v>
          </cell>
        </row>
        <row r="703">
          <cell r="S703">
            <v>10</v>
          </cell>
        </row>
        <row r="704">
          <cell r="M704" t="str">
            <v>出行</v>
          </cell>
        </row>
        <row r="704">
          <cell r="S704">
            <v>1.8</v>
          </cell>
        </row>
        <row r="705">
          <cell r="M705" t="str">
            <v>出行</v>
          </cell>
        </row>
        <row r="705">
          <cell r="S705">
            <v>3.6</v>
          </cell>
        </row>
        <row r="706">
          <cell r="M706" t="str">
            <v>晚餐</v>
          </cell>
        </row>
        <row r="706">
          <cell r="S706">
            <v>3.5</v>
          </cell>
        </row>
        <row r="707">
          <cell r="M707" t="str">
            <v>出行</v>
          </cell>
        </row>
        <row r="707">
          <cell r="S707">
            <v>3.6</v>
          </cell>
        </row>
        <row r="708">
          <cell r="M708" t="str">
            <v>出行</v>
          </cell>
        </row>
        <row r="708">
          <cell r="S708">
            <v>1.8</v>
          </cell>
        </row>
        <row r="709">
          <cell r="M709" t="str">
            <v>晚餐</v>
          </cell>
        </row>
        <row r="709">
          <cell r="S709">
            <v>10</v>
          </cell>
        </row>
        <row r="710">
          <cell r="M710" t="str">
            <v>日用</v>
          </cell>
        </row>
        <row r="710">
          <cell r="S710">
            <v>4</v>
          </cell>
        </row>
        <row r="711">
          <cell r="M711" t="str">
            <v>日用</v>
          </cell>
        </row>
        <row r="711">
          <cell r="S711">
            <v>7</v>
          </cell>
        </row>
        <row r="712">
          <cell r="M712" t="str">
            <v>出行</v>
          </cell>
        </row>
        <row r="712">
          <cell r="S712">
            <v>1.8</v>
          </cell>
        </row>
        <row r="713">
          <cell r="M713" t="str">
            <v>出行</v>
          </cell>
        </row>
        <row r="713">
          <cell r="S713">
            <v>3.6</v>
          </cell>
        </row>
        <row r="714">
          <cell r="M714" t="str">
            <v>晚餐</v>
          </cell>
        </row>
        <row r="714">
          <cell r="S714">
            <v>11</v>
          </cell>
        </row>
        <row r="715">
          <cell r="M715" t="str">
            <v>晚餐</v>
          </cell>
        </row>
        <row r="715">
          <cell r="S715">
            <v>24.5</v>
          </cell>
        </row>
        <row r="716">
          <cell r="M716" t="str">
            <v>晚餐</v>
          </cell>
        </row>
        <row r="716">
          <cell r="S716">
            <v>3</v>
          </cell>
        </row>
        <row r="717">
          <cell r="M717" t="str">
            <v>出行</v>
          </cell>
        </row>
        <row r="717">
          <cell r="S717">
            <v>3.6</v>
          </cell>
        </row>
        <row r="718">
          <cell r="M718" t="str">
            <v>小资</v>
          </cell>
        </row>
        <row r="718">
          <cell r="R718" t="str">
            <v>吃喝</v>
          </cell>
          <cell r="S718">
            <v>2</v>
          </cell>
        </row>
        <row r="719">
          <cell r="M719" t="str">
            <v>出行</v>
          </cell>
        </row>
        <row r="719">
          <cell r="S719">
            <v>1.8</v>
          </cell>
        </row>
        <row r="720">
          <cell r="M720" t="str">
            <v>晚餐</v>
          </cell>
        </row>
        <row r="720">
          <cell r="S720">
            <v>10</v>
          </cell>
        </row>
        <row r="721">
          <cell r="M721" t="str">
            <v>出行</v>
          </cell>
        </row>
        <row r="721">
          <cell r="S721">
            <v>1.8</v>
          </cell>
        </row>
        <row r="722">
          <cell r="M722" t="str">
            <v>出行</v>
          </cell>
        </row>
        <row r="722">
          <cell r="S722">
            <v>3.6</v>
          </cell>
        </row>
        <row r="723">
          <cell r="M723" t="str">
            <v>晚餐</v>
          </cell>
        </row>
        <row r="723">
          <cell r="S723">
            <v>11</v>
          </cell>
        </row>
        <row r="724">
          <cell r="M724" t="str">
            <v>出行</v>
          </cell>
        </row>
        <row r="724">
          <cell r="S724">
            <v>3.6</v>
          </cell>
        </row>
        <row r="725">
          <cell r="M725" t="str">
            <v>话费</v>
          </cell>
        </row>
        <row r="725">
          <cell r="S725">
            <v>50</v>
          </cell>
        </row>
        <row r="726">
          <cell r="M726" t="str">
            <v>晚餐</v>
          </cell>
        </row>
        <row r="726">
          <cell r="S726">
            <v>10</v>
          </cell>
        </row>
        <row r="727">
          <cell r="M727" t="str">
            <v>出行</v>
          </cell>
        </row>
        <row r="727">
          <cell r="S727">
            <v>1.8</v>
          </cell>
        </row>
        <row r="728">
          <cell r="M728" t="str">
            <v>出行</v>
          </cell>
        </row>
        <row r="728">
          <cell r="S728">
            <v>3.6</v>
          </cell>
        </row>
        <row r="729">
          <cell r="M729" t="str">
            <v>晚餐</v>
          </cell>
        </row>
        <row r="729">
          <cell r="S729">
            <v>11</v>
          </cell>
        </row>
        <row r="730">
          <cell r="M730" t="str">
            <v>晚餐</v>
          </cell>
        </row>
        <row r="730">
          <cell r="S730">
            <v>3.5</v>
          </cell>
        </row>
        <row r="731">
          <cell r="M731" t="str">
            <v>出行</v>
          </cell>
        </row>
        <row r="731">
          <cell r="S731">
            <v>3.6</v>
          </cell>
        </row>
        <row r="732">
          <cell r="M732" t="str">
            <v>晚餐</v>
          </cell>
        </row>
        <row r="732">
          <cell r="S732">
            <v>28.7</v>
          </cell>
        </row>
        <row r="733">
          <cell r="M733" t="str">
            <v>出行</v>
          </cell>
        </row>
        <row r="733">
          <cell r="S733">
            <v>1.8</v>
          </cell>
        </row>
        <row r="734">
          <cell r="M734" t="str">
            <v>会员</v>
          </cell>
        </row>
        <row r="734">
          <cell r="S734">
            <v>9</v>
          </cell>
        </row>
        <row r="735">
          <cell r="M735" t="str">
            <v>晚餐</v>
          </cell>
        </row>
        <row r="735">
          <cell r="S735">
            <v>3.5</v>
          </cell>
        </row>
        <row r="736">
          <cell r="M736" t="str">
            <v>出行</v>
          </cell>
        </row>
        <row r="736">
          <cell r="S736">
            <v>2.7</v>
          </cell>
        </row>
        <row r="737">
          <cell r="M737" t="str">
            <v>出行</v>
          </cell>
        </row>
        <row r="737">
          <cell r="S737">
            <v>1.8</v>
          </cell>
        </row>
        <row r="738">
          <cell r="M738" t="str">
            <v>晚餐</v>
          </cell>
        </row>
        <row r="738">
          <cell r="S738">
            <v>10</v>
          </cell>
        </row>
        <row r="739">
          <cell r="M739" t="str">
            <v>出行</v>
          </cell>
        </row>
        <row r="739">
          <cell r="S739">
            <v>1.8</v>
          </cell>
        </row>
        <row r="740">
          <cell r="M740" t="str">
            <v>社交</v>
          </cell>
        </row>
        <row r="740">
          <cell r="S740">
            <v>45</v>
          </cell>
        </row>
        <row r="741">
          <cell r="M741" t="str">
            <v>社交</v>
          </cell>
        </row>
        <row r="741">
          <cell r="S741">
            <v>34</v>
          </cell>
        </row>
        <row r="742">
          <cell r="M742" t="str">
            <v>社交</v>
          </cell>
        </row>
        <row r="742">
          <cell r="S742">
            <v>10</v>
          </cell>
        </row>
        <row r="743">
          <cell r="M743" t="str">
            <v>出行</v>
          </cell>
        </row>
        <row r="743">
          <cell r="S743">
            <v>1.8</v>
          </cell>
        </row>
        <row r="744">
          <cell r="M744" t="str">
            <v>出行</v>
          </cell>
        </row>
        <row r="744">
          <cell r="S744">
            <v>1.8</v>
          </cell>
        </row>
        <row r="745">
          <cell r="M745" t="str">
            <v>出行</v>
          </cell>
        </row>
        <row r="745">
          <cell r="S745">
            <v>1.8</v>
          </cell>
        </row>
        <row r="746">
          <cell r="M746" t="str">
            <v>晚餐</v>
          </cell>
        </row>
        <row r="746">
          <cell r="S746">
            <v>13</v>
          </cell>
        </row>
        <row r="747">
          <cell r="M747" t="str">
            <v>晚餐</v>
          </cell>
        </row>
        <row r="747">
          <cell r="S747">
            <v>18</v>
          </cell>
        </row>
        <row r="748">
          <cell r="M748" t="str">
            <v>出行</v>
          </cell>
        </row>
        <row r="748">
          <cell r="S748">
            <v>1.8</v>
          </cell>
        </row>
        <row r="749">
          <cell r="M749" t="str">
            <v>恋爱</v>
          </cell>
        </row>
        <row r="749">
          <cell r="R749" t="str">
            <v>吃喝</v>
          </cell>
          <cell r="S749">
            <v>58</v>
          </cell>
        </row>
        <row r="750">
          <cell r="M750" t="str">
            <v>晚餐</v>
          </cell>
        </row>
        <row r="750">
          <cell r="S750">
            <v>15</v>
          </cell>
        </row>
        <row r="751">
          <cell r="M751" t="str">
            <v>日用</v>
          </cell>
        </row>
        <row r="751">
          <cell r="S751">
            <v>5.5</v>
          </cell>
        </row>
        <row r="752">
          <cell r="M752" t="str">
            <v>日用</v>
          </cell>
        </row>
        <row r="752">
          <cell r="S752">
            <v>2</v>
          </cell>
        </row>
        <row r="753">
          <cell r="M753" t="str">
            <v>日用</v>
          </cell>
        </row>
        <row r="753">
          <cell r="S753">
            <v>500</v>
          </cell>
        </row>
        <row r="754">
          <cell r="M754" t="str">
            <v>恋爱</v>
          </cell>
        </row>
        <row r="754">
          <cell r="R754" t="str">
            <v>吃喝</v>
          </cell>
          <cell r="S754">
            <v>34.3</v>
          </cell>
        </row>
        <row r="755">
          <cell r="M755" t="str">
            <v>会员</v>
          </cell>
        </row>
        <row r="755">
          <cell r="S755">
            <v>15</v>
          </cell>
        </row>
        <row r="756">
          <cell r="M756" t="str">
            <v>话费</v>
          </cell>
        </row>
        <row r="756">
          <cell r="S756">
            <v>300</v>
          </cell>
        </row>
        <row r="757">
          <cell r="M757" t="str">
            <v>晚餐</v>
          </cell>
        </row>
        <row r="757">
          <cell r="S757">
            <v>11</v>
          </cell>
        </row>
        <row r="758">
          <cell r="M758" t="str">
            <v>晚餐</v>
          </cell>
        </row>
        <row r="758">
          <cell r="S758">
            <v>20</v>
          </cell>
        </row>
        <row r="759">
          <cell r="M759" t="str">
            <v>小资</v>
          </cell>
        </row>
        <row r="759">
          <cell r="R759" t="str">
            <v>吃喝</v>
          </cell>
          <cell r="S759">
            <v>8</v>
          </cell>
        </row>
        <row r="760">
          <cell r="M760" t="str">
            <v>会员</v>
          </cell>
        </row>
        <row r="760">
          <cell r="S760">
            <v>1.88</v>
          </cell>
        </row>
        <row r="761">
          <cell r="M761" t="str">
            <v>晚餐</v>
          </cell>
        </row>
        <row r="761">
          <cell r="S761">
            <v>13</v>
          </cell>
        </row>
        <row r="762">
          <cell r="M762" t="str">
            <v>日用</v>
          </cell>
        </row>
        <row r="762">
          <cell r="S762">
            <v>300</v>
          </cell>
        </row>
        <row r="763">
          <cell r="M763" t="str">
            <v>晚餐</v>
          </cell>
        </row>
        <row r="763">
          <cell r="S763">
            <v>6</v>
          </cell>
        </row>
        <row r="764">
          <cell r="M764" t="str">
            <v>晚餐</v>
          </cell>
        </row>
        <row r="764">
          <cell r="S764">
            <v>33</v>
          </cell>
        </row>
        <row r="765">
          <cell r="M765" t="str">
            <v>晚餐</v>
          </cell>
        </row>
        <row r="765">
          <cell r="S765">
            <v>13</v>
          </cell>
        </row>
        <row r="766">
          <cell r="M766" t="str">
            <v>晚餐</v>
          </cell>
        </row>
        <row r="766">
          <cell r="S766">
            <v>6</v>
          </cell>
        </row>
        <row r="767">
          <cell r="M767" t="str">
            <v>晚餐</v>
          </cell>
        </row>
        <row r="767">
          <cell r="S767">
            <v>10</v>
          </cell>
        </row>
        <row r="768">
          <cell r="M768" t="str">
            <v>出行</v>
          </cell>
        </row>
        <row r="768">
          <cell r="S768">
            <v>1.8</v>
          </cell>
        </row>
        <row r="769">
          <cell r="M769" t="str">
            <v>出行</v>
          </cell>
        </row>
        <row r="769">
          <cell r="S769">
            <v>3.6</v>
          </cell>
        </row>
        <row r="770">
          <cell r="M770" t="str">
            <v>晚餐</v>
          </cell>
        </row>
        <row r="770">
          <cell r="S770">
            <v>11</v>
          </cell>
        </row>
        <row r="771">
          <cell r="M771" t="str">
            <v>出行</v>
          </cell>
        </row>
        <row r="771">
          <cell r="S771">
            <v>3.6</v>
          </cell>
        </row>
        <row r="772">
          <cell r="M772" t="str">
            <v>小资</v>
          </cell>
        </row>
        <row r="772">
          <cell r="R772" t="str">
            <v>吃喝</v>
          </cell>
          <cell r="S772">
            <v>6</v>
          </cell>
        </row>
        <row r="773">
          <cell r="M773" t="str">
            <v>出行</v>
          </cell>
        </row>
        <row r="773">
          <cell r="S773">
            <v>1.8</v>
          </cell>
        </row>
        <row r="774">
          <cell r="M774" t="str">
            <v>恋爱</v>
          </cell>
        </row>
        <row r="774">
          <cell r="R774" t="str">
            <v>城际</v>
          </cell>
          <cell r="S774">
            <v>56</v>
          </cell>
        </row>
        <row r="775">
          <cell r="M775" t="str">
            <v>恋爱</v>
          </cell>
        </row>
        <row r="775">
          <cell r="R775" t="str">
            <v>城内</v>
          </cell>
          <cell r="S775">
            <v>14.53</v>
          </cell>
        </row>
        <row r="776">
          <cell r="M776" t="str">
            <v>恋爱</v>
          </cell>
        </row>
        <row r="776">
          <cell r="R776" t="str">
            <v>吃喝</v>
          </cell>
          <cell r="S776">
            <v>40</v>
          </cell>
        </row>
        <row r="777">
          <cell r="M777" t="str">
            <v>恋爱</v>
          </cell>
        </row>
        <row r="777">
          <cell r="R777" t="str">
            <v>吃喝</v>
          </cell>
          <cell r="S777">
            <v>10</v>
          </cell>
        </row>
        <row r="778">
          <cell r="M778" t="str">
            <v>恋爱</v>
          </cell>
        </row>
        <row r="778">
          <cell r="R778" t="str">
            <v>城内</v>
          </cell>
          <cell r="S778">
            <v>6.3</v>
          </cell>
        </row>
        <row r="779">
          <cell r="M779" t="str">
            <v>恋爱</v>
          </cell>
        </row>
        <row r="779">
          <cell r="R779" t="str">
            <v>城内</v>
          </cell>
          <cell r="S779">
            <v>3.6</v>
          </cell>
        </row>
        <row r="780">
          <cell r="M780" t="str">
            <v>恋爱</v>
          </cell>
        </row>
        <row r="780">
          <cell r="R780" t="str">
            <v>吃喝</v>
          </cell>
          <cell r="S780">
            <v>10</v>
          </cell>
        </row>
        <row r="781">
          <cell r="M781" t="str">
            <v>恋爱</v>
          </cell>
        </row>
        <row r="781">
          <cell r="R781" t="str">
            <v>吃喝</v>
          </cell>
          <cell r="S781">
            <v>234</v>
          </cell>
        </row>
        <row r="782">
          <cell r="M782" t="str">
            <v>恋爱</v>
          </cell>
        </row>
        <row r="782">
          <cell r="R782" t="str">
            <v>吃喝</v>
          </cell>
          <cell r="S782">
            <v>31</v>
          </cell>
        </row>
        <row r="783">
          <cell r="M783" t="str">
            <v>恋爱</v>
          </cell>
        </row>
        <row r="783">
          <cell r="R783" t="str">
            <v>吃喝</v>
          </cell>
          <cell r="S783">
            <v>68.56</v>
          </cell>
        </row>
        <row r="784">
          <cell r="M784" t="str">
            <v>恋爱</v>
          </cell>
        </row>
        <row r="784">
          <cell r="R784" t="str">
            <v>吃喝</v>
          </cell>
          <cell r="S784">
            <v>30</v>
          </cell>
        </row>
        <row r="785">
          <cell r="M785" t="str">
            <v>恋爱</v>
          </cell>
        </row>
        <row r="785">
          <cell r="R785" t="str">
            <v>城内</v>
          </cell>
          <cell r="S785">
            <v>29.76</v>
          </cell>
        </row>
        <row r="786">
          <cell r="M786" t="str">
            <v>恋爱</v>
          </cell>
        </row>
        <row r="786">
          <cell r="R786" t="str">
            <v>城内</v>
          </cell>
          <cell r="S786">
            <v>24.13</v>
          </cell>
        </row>
        <row r="787">
          <cell r="M787" t="str">
            <v>恋爱</v>
          </cell>
        </row>
        <row r="787">
          <cell r="R787" t="str">
            <v>吃喝</v>
          </cell>
          <cell r="S787">
            <v>5</v>
          </cell>
        </row>
        <row r="788">
          <cell r="M788" t="str">
            <v>恋爱</v>
          </cell>
        </row>
        <row r="788">
          <cell r="R788" t="str">
            <v>吃喝</v>
          </cell>
          <cell r="S788">
            <v>37</v>
          </cell>
        </row>
        <row r="789">
          <cell r="M789" t="str">
            <v>恋爱</v>
          </cell>
        </row>
        <row r="789">
          <cell r="R789" t="str">
            <v>游玩</v>
          </cell>
          <cell r="S789">
            <v>110</v>
          </cell>
        </row>
        <row r="790">
          <cell r="M790" t="str">
            <v>恋爱</v>
          </cell>
        </row>
        <row r="790">
          <cell r="R790" t="str">
            <v>城内</v>
          </cell>
          <cell r="S790">
            <v>12.82</v>
          </cell>
        </row>
        <row r="791">
          <cell r="M791" t="str">
            <v>恋爱</v>
          </cell>
        </row>
        <row r="791">
          <cell r="R791" t="str">
            <v>吃喝</v>
          </cell>
          <cell r="S791">
            <v>6</v>
          </cell>
        </row>
        <row r="792">
          <cell r="M792" t="str">
            <v>恋爱</v>
          </cell>
        </row>
        <row r="792">
          <cell r="R792" t="str">
            <v>吃喝</v>
          </cell>
          <cell r="S792">
            <v>50</v>
          </cell>
        </row>
        <row r="793">
          <cell r="M793" t="str">
            <v>恋爱</v>
          </cell>
        </row>
        <row r="793">
          <cell r="R793" t="str">
            <v>城内</v>
          </cell>
          <cell r="S793">
            <v>12.1</v>
          </cell>
        </row>
        <row r="794">
          <cell r="M794" t="str">
            <v>恋爱</v>
          </cell>
        </row>
        <row r="794">
          <cell r="R794" t="str">
            <v>城内</v>
          </cell>
          <cell r="S794">
            <v>23.31</v>
          </cell>
        </row>
        <row r="795">
          <cell r="M795" t="str">
            <v>恋爱</v>
          </cell>
        </row>
        <row r="795">
          <cell r="R795" t="str">
            <v>吃喝</v>
          </cell>
          <cell r="S795">
            <v>42</v>
          </cell>
        </row>
        <row r="796">
          <cell r="M796" t="str">
            <v>恋爱</v>
          </cell>
        </row>
        <row r="796">
          <cell r="R796" t="str">
            <v>游玩</v>
          </cell>
          <cell r="S796">
            <v>216</v>
          </cell>
        </row>
        <row r="797">
          <cell r="M797" t="str">
            <v>恋爱</v>
          </cell>
        </row>
        <row r="797">
          <cell r="R797" t="str">
            <v>吃喝</v>
          </cell>
          <cell r="S797">
            <v>26.5</v>
          </cell>
        </row>
        <row r="798">
          <cell r="M798" t="str">
            <v>会员</v>
          </cell>
        </row>
        <row r="798">
          <cell r="S798">
            <v>16</v>
          </cell>
        </row>
        <row r="799">
          <cell r="M799" t="str">
            <v>恋爱</v>
          </cell>
        </row>
        <row r="799">
          <cell r="R799" t="str">
            <v>城内</v>
          </cell>
          <cell r="S799">
            <v>15.72</v>
          </cell>
        </row>
        <row r="800">
          <cell r="M800" t="str">
            <v>恋爱</v>
          </cell>
        </row>
        <row r="800">
          <cell r="R800" t="str">
            <v>吃喝</v>
          </cell>
          <cell r="S800">
            <v>35</v>
          </cell>
        </row>
        <row r="801">
          <cell r="M801" t="str">
            <v>恋爱</v>
          </cell>
        </row>
        <row r="801">
          <cell r="R801" t="str">
            <v>吃喝</v>
          </cell>
          <cell r="S801">
            <v>18</v>
          </cell>
        </row>
        <row r="802">
          <cell r="M802" t="str">
            <v>恋爱</v>
          </cell>
        </row>
        <row r="802">
          <cell r="R802" t="str">
            <v>吃喝</v>
          </cell>
          <cell r="S802">
            <v>88</v>
          </cell>
        </row>
        <row r="803">
          <cell r="M803" t="str">
            <v>恋爱</v>
          </cell>
        </row>
        <row r="803">
          <cell r="R803" t="str">
            <v>城内</v>
          </cell>
          <cell r="S803">
            <v>13.53</v>
          </cell>
        </row>
        <row r="804">
          <cell r="M804" t="str">
            <v>恋爱</v>
          </cell>
        </row>
        <row r="804">
          <cell r="R804" t="str">
            <v>吃喝</v>
          </cell>
          <cell r="S804">
            <v>188</v>
          </cell>
        </row>
        <row r="805">
          <cell r="M805" t="str">
            <v>恋爱</v>
          </cell>
        </row>
        <row r="805">
          <cell r="R805" t="str">
            <v>游玩</v>
          </cell>
          <cell r="S805">
            <v>360</v>
          </cell>
        </row>
        <row r="806">
          <cell r="M806" t="str">
            <v>恋爱</v>
          </cell>
        </row>
        <row r="806">
          <cell r="R806" t="str">
            <v>吃喝</v>
          </cell>
          <cell r="S806">
            <v>19.8</v>
          </cell>
        </row>
        <row r="807">
          <cell r="M807" t="str">
            <v>恋爱</v>
          </cell>
        </row>
        <row r="807">
          <cell r="R807" t="str">
            <v>游玩</v>
          </cell>
          <cell r="S807">
            <v>-350</v>
          </cell>
        </row>
        <row r="808">
          <cell r="M808" t="str">
            <v>恋爱</v>
          </cell>
        </row>
        <row r="808">
          <cell r="R808" t="str">
            <v>城内</v>
          </cell>
          <cell r="S808">
            <v>15.47</v>
          </cell>
        </row>
        <row r="809">
          <cell r="M809" t="str">
            <v>恋爱</v>
          </cell>
        </row>
        <row r="809">
          <cell r="R809" t="str">
            <v>吃喝</v>
          </cell>
          <cell r="S809">
            <v>22</v>
          </cell>
        </row>
        <row r="810">
          <cell r="M810" t="str">
            <v>恋爱</v>
          </cell>
        </row>
        <row r="810">
          <cell r="R810" t="str">
            <v>吃喝</v>
          </cell>
          <cell r="S810">
            <v>38</v>
          </cell>
        </row>
        <row r="811">
          <cell r="M811" t="str">
            <v>恋爱</v>
          </cell>
        </row>
        <row r="811">
          <cell r="R811" t="str">
            <v>吃喝</v>
          </cell>
          <cell r="S811">
            <v>22</v>
          </cell>
        </row>
        <row r="812">
          <cell r="M812" t="str">
            <v>恋爱</v>
          </cell>
        </row>
        <row r="812">
          <cell r="R812" t="str">
            <v>吃喝</v>
          </cell>
          <cell r="S812">
            <v>29</v>
          </cell>
        </row>
        <row r="813">
          <cell r="M813" t="str">
            <v>恋爱</v>
          </cell>
        </row>
        <row r="813">
          <cell r="R813" t="str">
            <v>电影</v>
          </cell>
          <cell r="S813">
            <v>61.8</v>
          </cell>
        </row>
        <row r="814">
          <cell r="M814" t="str">
            <v>恋爱</v>
          </cell>
        </row>
        <row r="814">
          <cell r="R814" t="str">
            <v>吃喝</v>
          </cell>
          <cell r="S814">
            <v>10</v>
          </cell>
        </row>
        <row r="815">
          <cell r="M815" t="str">
            <v>恋爱</v>
          </cell>
        </row>
        <row r="815">
          <cell r="R815" t="str">
            <v>城内</v>
          </cell>
          <cell r="S815">
            <v>10.62</v>
          </cell>
        </row>
        <row r="816">
          <cell r="M816" t="str">
            <v>恋爱</v>
          </cell>
        </row>
        <row r="816">
          <cell r="R816" t="str">
            <v>吃喝</v>
          </cell>
          <cell r="S816">
            <v>20</v>
          </cell>
        </row>
        <row r="817">
          <cell r="M817" t="str">
            <v>恋爱</v>
          </cell>
        </row>
        <row r="817">
          <cell r="R817" t="str">
            <v>吃喝</v>
          </cell>
          <cell r="S817">
            <v>220</v>
          </cell>
        </row>
        <row r="818">
          <cell r="M818" t="str">
            <v>恋爱</v>
          </cell>
        </row>
        <row r="818">
          <cell r="R818" t="str">
            <v>城内</v>
          </cell>
          <cell r="S818">
            <v>14.8</v>
          </cell>
        </row>
        <row r="819">
          <cell r="M819" t="str">
            <v>恋爱</v>
          </cell>
        </row>
        <row r="819">
          <cell r="R819" t="str">
            <v>城内</v>
          </cell>
          <cell r="S819">
            <v>23.45</v>
          </cell>
        </row>
        <row r="820">
          <cell r="M820" t="str">
            <v>恋爱</v>
          </cell>
        </row>
        <row r="820">
          <cell r="R820" t="str">
            <v>城内</v>
          </cell>
          <cell r="S820">
            <v>1.8</v>
          </cell>
        </row>
        <row r="821">
          <cell r="M821" t="str">
            <v>恋爱</v>
          </cell>
        </row>
        <row r="821">
          <cell r="R821" t="str">
            <v>城内</v>
          </cell>
          <cell r="S821">
            <v>9.77</v>
          </cell>
        </row>
        <row r="822">
          <cell r="M822" t="str">
            <v>恋爱</v>
          </cell>
        </row>
        <row r="822">
          <cell r="R822" t="str">
            <v>城内</v>
          </cell>
          <cell r="S822">
            <v>6.3</v>
          </cell>
        </row>
        <row r="823">
          <cell r="M823" t="str">
            <v>恋爱</v>
          </cell>
        </row>
        <row r="823">
          <cell r="R823" t="str">
            <v>城内</v>
          </cell>
          <cell r="S823">
            <v>6.3</v>
          </cell>
        </row>
        <row r="824">
          <cell r="M824" t="str">
            <v>晚餐</v>
          </cell>
        </row>
        <row r="824">
          <cell r="S824">
            <v>4</v>
          </cell>
        </row>
        <row r="825">
          <cell r="M825" t="str">
            <v>晚餐</v>
          </cell>
        </row>
        <row r="825">
          <cell r="S825">
            <v>12</v>
          </cell>
        </row>
        <row r="826">
          <cell r="M826" t="str">
            <v>出行</v>
          </cell>
        </row>
        <row r="826">
          <cell r="S826">
            <v>1.8</v>
          </cell>
        </row>
        <row r="827">
          <cell r="M827" t="str">
            <v>晚餐</v>
          </cell>
        </row>
        <row r="827">
          <cell r="S827">
            <v>10</v>
          </cell>
        </row>
        <row r="828">
          <cell r="M828" t="str">
            <v>出行</v>
          </cell>
        </row>
        <row r="828">
          <cell r="S828">
            <v>1.8</v>
          </cell>
        </row>
        <row r="829">
          <cell r="M829" t="str">
            <v>晚餐</v>
          </cell>
        </row>
        <row r="829">
          <cell r="S829">
            <v>20</v>
          </cell>
        </row>
        <row r="830">
          <cell r="M830" t="str">
            <v>话费</v>
          </cell>
        </row>
        <row r="830">
          <cell r="S830">
            <v>30</v>
          </cell>
        </row>
        <row r="831">
          <cell r="M831" t="str">
            <v>晚餐</v>
          </cell>
        </row>
        <row r="831">
          <cell r="S831">
            <v>10</v>
          </cell>
        </row>
        <row r="832">
          <cell r="M832" t="str">
            <v>出行</v>
          </cell>
        </row>
        <row r="832">
          <cell r="S832">
            <v>1.8</v>
          </cell>
        </row>
        <row r="833">
          <cell r="M833" t="str">
            <v>出行</v>
          </cell>
        </row>
        <row r="833">
          <cell r="S833">
            <v>3.6</v>
          </cell>
        </row>
        <row r="834">
          <cell r="M834" t="str">
            <v>副入</v>
          </cell>
        </row>
        <row r="834">
          <cell r="S834">
            <v>-20000</v>
          </cell>
        </row>
        <row r="835">
          <cell r="M835" t="str">
            <v>晚餐</v>
          </cell>
        </row>
        <row r="835">
          <cell r="S835">
            <v>11</v>
          </cell>
        </row>
        <row r="836">
          <cell r="M836" t="str">
            <v>出行</v>
          </cell>
        </row>
        <row r="836">
          <cell r="S836">
            <v>3.6</v>
          </cell>
        </row>
        <row r="837">
          <cell r="M837" t="str">
            <v>出行</v>
          </cell>
        </row>
        <row r="837">
          <cell r="S837">
            <v>1.8</v>
          </cell>
        </row>
        <row r="838">
          <cell r="M838" t="str">
            <v>晚餐</v>
          </cell>
        </row>
        <row r="838">
          <cell r="S838">
            <v>10</v>
          </cell>
        </row>
        <row r="839">
          <cell r="M839" t="str">
            <v>恋爱</v>
          </cell>
        </row>
        <row r="839">
          <cell r="R839" t="str">
            <v>吃喝</v>
          </cell>
          <cell r="S839">
            <v>86</v>
          </cell>
        </row>
        <row r="840">
          <cell r="M840" t="str">
            <v>晚餐</v>
          </cell>
        </row>
        <row r="840">
          <cell r="S840">
            <v>13</v>
          </cell>
        </row>
        <row r="841">
          <cell r="M841" t="str">
            <v>出行</v>
          </cell>
        </row>
        <row r="841">
          <cell r="S841">
            <v>1.8</v>
          </cell>
        </row>
        <row r="842">
          <cell r="M842" t="str">
            <v>出行</v>
          </cell>
        </row>
        <row r="842">
          <cell r="S842">
            <v>3.6</v>
          </cell>
        </row>
        <row r="843">
          <cell r="M843" t="str">
            <v>恋爱</v>
          </cell>
        </row>
        <row r="843">
          <cell r="R843" t="str">
            <v>吃喝</v>
          </cell>
          <cell r="S843">
            <v>-5</v>
          </cell>
        </row>
        <row r="844">
          <cell r="M844" t="str">
            <v>晚餐</v>
          </cell>
        </row>
        <row r="844">
          <cell r="S844">
            <v>3</v>
          </cell>
        </row>
        <row r="845">
          <cell r="M845" t="str">
            <v>出行</v>
          </cell>
        </row>
        <row r="845">
          <cell r="S845">
            <v>3.6</v>
          </cell>
        </row>
        <row r="846">
          <cell r="M846" t="str">
            <v>社交</v>
          </cell>
        </row>
        <row r="846">
          <cell r="S846">
            <v>129</v>
          </cell>
        </row>
        <row r="847">
          <cell r="M847" t="str">
            <v>晚餐</v>
          </cell>
        </row>
        <row r="847">
          <cell r="S847">
            <v>10</v>
          </cell>
        </row>
        <row r="848">
          <cell r="M848" t="str">
            <v>出行</v>
          </cell>
        </row>
        <row r="848">
          <cell r="S848">
            <v>1.8</v>
          </cell>
        </row>
        <row r="849">
          <cell r="M849" t="str">
            <v>晚餐</v>
          </cell>
        </row>
        <row r="849">
          <cell r="S849">
            <v>13</v>
          </cell>
        </row>
        <row r="850">
          <cell r="M850" t="str">
            <v>日用</v>
          </cell>
        </row>
        <row r="850">
          <cell r="S850">
            <v>44.7</v>
          </cell>
        </row>
        <row r="851">
          <cell r="M851" t="str">
            <v>晚餐</v>
          </cell>
        </row>
        <row r="851">
          <cell r="S851">
            <v>15</v>
          </cell>
        </row>
        <row r="852">
          <cell r="M852" t="str">
            <v>房租</v>
          </cell>
        </row>
        <row r="852">
          <cell r="S852">
            <v>9300</v>
          </cell>
        </row>
        <row r="853">
          <cell r="M853" t="str">
            <v>房租</v>
          </cell>
        </row>
        <row r="853">
          <cell r="S853">
            <v>648</v>
          </cell>
        </row>
        <row r="854">
          <cell r="M854" t="str">
            <v>晚餐</v>
          </cell>
        </row>
        <row r="854">
          <cell r="S854">
            <v>10</v>
          </cell>
        </row>
        <row r="855">
          <cell r="M855" t="str">
            <v>日用</v>
          </cell>
        </row>
        <row r="855">
          <cell r="S855">
            <v>45</v>
          </cell>
        </row>
        <row r="856">
          <cell r="M856" t="str">
            <v>日用</v>
          </cell>
        </row>
        <row r="856">
          <cell r="S856">
            <v>27.8</v>
          </cell>
        </row>
        <row r="857">
          <cell r="M857" t="str">
            <v>会员</v>
          </cell>
        </row>
        <row r="857">
          <cell r="S857">
            <v>1</v>
          </cell>
        </row>
        <row r="858">
          <cell r="M858" t="str">
            <v>晚餐</v>
          </cell>
        </row>
        <row r="858">
          <cell r="S858">
            <v>20</v>
          </cell>
        </row>
        <row r="859">
          <cell r="M859" t="str">
            <v>晚餐</v>
          </cell>
        </row>
        <row r="859">
          <cell r="S859">
            <v>13</v>
          </cell>
        </row>
        <row r="860">
          <cell r="M860" t="str">
            <v>水费</v>
          </cell>
        </row>
        <row r="860">
          <cell r="S860">
            <v>200</v>
          </cell>
        </row>
        <row r="861">
          <cell r="M861" t="str">
            <v>水费</v>
          </cell>
        </row>
        <row r="861">
          <cell r="S861">
            <v>25</v>
          </cell>
        </row>
        <row r="862">
          <cell r="M862" t="str">
            <v>晚餐</v>
          </cell>
        </row>
        <row r="862">
          <cell r="S862">
            <v>10</v>
          </cell>
        </row>
        <row r="863">
          <cell r="M863" t="str">
            <v>晚餐</v>
          </cell>
        </row>
        <row r="863">
          <cell r="S863">
            <v>16.4</v>
          </cell>
        </row>
        <row r="864">
          <cell r="M864" t="str">
            <v>日用</v>
          </cell>
        </row>
        <row r="864">
          <cell r="S864">
            <v>5</v>
          </cell>
        </row>
        <row r="865">
          <cell r="M865" t="str">
            <v>日用</v>
          </cell>
        </row>
        <row r="865">
          <cell r="S865">
            <v>25</v>
          </cell>
        </row>
        <row r="866">
          <cell r="M866" t="str">
            <v>电费</v>
          </cell>
        </row>
        <row r="866">
          <cell r="S866">
            <v>100</v>
          </cell>
        </row>
        <row r="867">
          <cell r="M867" t="str">
            <v>话费</v>
          </cell>
        </row>
        <row r="867">
          <cell r="S867">
            <v>500</v>
          </cell>
        </row>
        <row r="868">
          <cell r="M868" t="str">
            <v>话费</v>
          </cell>
        </row>
        <row r="868">
          <cell r="S868">
            <v>100</v>
          </cell>
        </row>
        <row r="869">
          <cell r="M869" t="str">
            <v>晚餐</v>
          </cell>
        </row>
        <row r="869">
          <cell r="S869">
            <v>12</v>
          </cell>
        </row>
        <row r="870">
          <cell r="M870" t="str">
            <v>日用</v>
          </cell>
        </row>
        <row r="870">
          <cell r="S870">
            <v>3</v>
          </cell>
        </row>
        <row r="871">
          <cell r="M871" t="str">
            <v>晚餐</v>
          </cell>
        </row>
        <row r="871">
          <cell r="S871">
            <v>10</v>
          </cell>
        </row>
        <row r="872">
          <cell r="M872" t="str">
            <v>出行</v>
          </cell>
        </row>
        <row r="872">
          <cell r="S872">
            <v>6.78</v>
          </cell>
        </row>
        <row r="873">
          <cell r="M873" t="str">
            <v>晚餐</v>
          </cell>
        </row>
        <row r="873">
          <cell r="S873">
            <v>23.93</v>
          </cell>
        </row>
        <row r="874">
          <cell r="M874" t="str">
            <v>日用</v>
          </cell>
        </row>
        <row r="874">
          <cell r="S874">
            <v>109.8</v>
          </cell>
        </row>
        <row r="875">
          <cell r="M875" t="str">
            <v>日用</v>
          </cell>
        </row>
        <row r="875">
          <cell r="S875">
            <v>137.94</v>
          </cell>
        </row>
        <row r="876">
          <cell r="M876" t="str">
            <v>日用</v>
          </cell>
        </row>
        <row r="876">
          <cell r="S876">
            <v>76.73</v>
          </cell>
        </row>
        <row r="877">
          <cell r="M877" t="str">
            <v>日用</v>
          </cell>
        </row>
        <row r="877">
          <cell r="S877">
            <v>-18.74</v>
          </cell>
        </row>
        <row r="878">
          <cell r="M878" t="str">
            <v>日用</v>
          </cell>
        </row>
        <row r="878">
          <cell r="S878">
            <v>-19.19</v>
          </cell>
        </row>
        <row r="879">
          <cell r="M879" t="str">
            <v>日用</v>
          </cell>
        </row>
        <row r="879">
          <cell r="S879">
            <v>-38.8</v>
          </cell>
        </row>
        <row r="880">
          <cell r="M880" t="str">
            <v>晚餐</v>
          </cell>
        </row>
        <row r="880">
          <cell r="S880">
            <v>16</v>
          </cell>
        </row>
        <row r="881">
          <cell r="M881" t="str">
            <v>日用</v>
          </cell>
        </row>
        <row r="881">
          <cell r="S881">
            <v>50</v>
          </cell>
        </row>
        <row r="882">
          <cell r="M882" t="str">
            <v>日用</v>
          </cell>
        </row>
        <row r="882">
          <cell r="S882">
            <v>20</v>
          </cell>
        </row>
        <row r="883">
          <cell r="M883" t="str">
            <v>晚餐</v>
          </cell>
        </row>
        <row r="883">
          <cell r="S883">
            <v>23.22</v>
          </cell>
        </row>
        <row r="884">
          <cell r="M884" t="str">
            <v>出行</v>
          </cell>
        </row>
        <row r="884">
          <cell r="S884">
            <v>9.69</v>
          </cell>
        </row>
        <row r="885">
          <cell r="M885" t="str">
            <v>晚餐</v>
          </cell>
        </row>
        <row r="885">
          <cell r="S885">
            <v>12</v>
          </cell>
        </row>
        <row r="886">
          <cell r="M886" t="str">
            <v>日用</v>
          </cell>
        </row>
        <row r="886">
          <cell r="S886">
            <v>850</v>
          </cell>
        </row>
        <row r="887">
          <cell r="M887" t="str">
            <v>日用</v>
          </cell>
        </row>
        <row r="887">
          <cell r="S887">
            <v>40</v>
          </cell>
        </row>
        <row r="888">
          <cell r="M888" t="str">
            <v>晚餐</v>
          </cell>
        </row>
        <row r="888">
          <cell r="S888">
            <v>28</v>
          </cell>
        </row>
        <row r="889">
          <cell r="M889" t="str">
            <v>日用</v>
          </cell>
        </row>
        <row r="889">
          <cell r="S889">
            <v>50</v>
          </cell>
        </row>
        <row r="890">
          <cell r="M890" t="str">
            <v>晚餐</v>
          </cell>
        </row>
        <row r="890">
          <cell r="S890">
            <v>14</v>
          </cell>
        </row>
        <row r="891">
          <cell r="M891" t="str">
            <v>晚餐</v>
          </cell>
        </row>
        <row r="891">
          <cell r="S891">
            <v>27.27</v>
          </cell>
        </row>
        <row r="892">
          <cell r="M892" t="str">
            <v>恋爱</v>
          </cell>
        </row>
        <row r="892">
          <cell r="R892" t="str">
            <v>礼物</v>
          </cell>
          <cell r="S892">
            <v>96</v>
          </cell>
        </row>
        <row r="893">
          <cell r="M893" t="str">
            <v>恋爱</v>
          </cell>
        </row>
        <row r="893">
          <cell r="R893" t="str">
            <v>礼物</v>
          </cell>
          <cell r="S893">
            <v>-5</v>
          </cell>
        </row>
        <row r="894">
          <cell r="M894" t="str">
            <v>晚餐</v>
          </cell>
        </row>
        <row r="894">
          <cell r="S894">
            <v>10</v>
          </cell>
        </row>
        <row r="895">
          <cell r="M895" t="str">
            <v>日用</v>
          </cell>
        </row>
        <row r="895">
          <cell r="S895">
            <v>31</v>
          </cell>
        </row>
        <row r="896">
          <cell r="M896" t="str">
            <v>会员</v>
          </cell>
        </row>
        <row r="896">
          <cell r="S896">
            <v>1</v>
          </cell>
        </row>
        <row r="897">
          <cell r="M897" t="str">
            <v>晚餐</v>
          </cell>
        </row>
        <row r="897">
          <cell r="S897">
            <v>38.48</v>
          </cell>
        </row>
        <row r="898">
          <cell r="M898" t="str">
            <v>日用</v>
          </cell>
        </row>
        <row r="898">
          <cell r="S898">
            <v>400</v>
          </cell>
        </row>
        <row r="899">
          <cell r="M899" t="str">
            <v>晚餐</v>
          </cell>
        </row>
        <row r="899">
          <cell r="S899">
            <v>10</v>
          </cell>
        </row>
        <row r="900">
          <cell r="M900" t="str">
            <v>晚餐</v>
          </cell>
        </row>
        <row r="900">
          <cell r="S900">
            <v>26.2</v>
          </cell>
        </row>
        <row r="901">
          <cell r="M901" t="str">
            <v>日用</v>
          </cell>
        </row>
        <row r="901">
          <cell r="S901">
            <v>5</v>
          </cell>
        </row>
        <row r="902">
          <cell r="M902" t="str">
            <v>会员</v>
          </cell>
        </row>
        <row r="902">
          <cell r="S902">
            <v>19</v>
          </cell>
        </row>
        <row r="903">
          <cell r="M903" t="str">
            <v>晚餐</v>
          </cell>
        </row>
        <row r="903">
          <cell r="S903">
            <v>13</v>
          </cell>
        </row>
        <row r="904">
          <cell r="M904" t="str">
            <v>晚餐</v>
          </cell>
        </row>
        <row r="904">
          <cell r="S904">
            <v>25</v>
          </cell>
        </row>
        <row r="905">
          <cell r="M905" t="str">
            <v>晚餐</v>
          </cell>
        </row>
        <row r="905">
          <cell r="S905">
            <v>22</v>
          </cell>
        </row>
        <row r="906">
          <cell r="M906" t="str">
            <v>晚餐</v>
          </cell>
        </row>
        <row r="906">
          <cell r="S906">
            <v>2</v>
          </cell>
        </row>
        <row r="907">
          <cell r="M907" t="str">
            <v>恋爱</v>
          </cell>
        </row>
        <row r="907">
          <cell r="R907" t="str">
            <v>城际</v>
          </cell>
          <cell r="S907">
            <v>630</v>
          </cell>
        </row>
        <row r="908">
          <cell r="M908" t="str">
            <v>晚餐</v>
          </cell>
        </row>
        <row r="908">
          <cell r="S908">
            <v>5</v>
          </cell>
        </row>
        <row r="909">
          <cell r="M909" t="str">
            <v>日用</v>
          </cell>
        </row>
        <row r="909">
          <cell r="S909">
            <v>39.6</v>
          </cell>
        </row>
        <row r="910">
          <cell r="M910" t="str">
            <v>小资</v>
          </cell>
        </row>
        <row r="910">
          <cell r="R910" t="str">
            <v>吃喝</v>
          </cell>
          <cell r="S910">
            <v>69.8</v>
          </cell>
        </row>
        <row r="911">
          <cell r="M911" t="str">
            <v>早餐</v>
          </cell>
        </row>
        <row r="911">
          <cell r="S911">
            <v>8</v>
          </cell>
        </row>
        <row r="912">
          <cell r="M912" t="str">
            <v>早餐</v>
          </cell>
        </row>
        <row r="912">
          <cell r="S912">
            <v>9</v>
          </cell>
        </row>
        <row r="913">
          <cell r="M913" t="str">
            <v>恋爱</v>
          </cell>
        </row>
        <row r="913">
          <cell r="R913" t="str">
            <v>住宿</v>
          </cell>
          <cell r="S913">
            <v>165</v>
          </cell>
        </row>
        <row r="914">
          <cell r="M914" t="str">
            <v>出行</v>
          </cell>
        </row>
        <row r="914">
          <cell r="S914">
            <v>5.4</v>
          </cell>
        </row>
        <row r="915">
          <cell r="M915" t="str">
            <v>恋爱</v>
          </cell>
        </row>
        <row r="915">
          <cell r="R915" t="str">
            <v>吃喝</v>
          </cell>
          <cell r="S915">
            <v>10</v>
          </cell>
        </row>
        <row r="916">
          <cell r="M916" t="str">
            <v>恋爱</v>
          </cell>
        </row>
        <row r="916">
          <cell r="R916" t="str">
            <v>城内</v>
          </cell>
          <cell r="S916">
            <v>77.82</v>
          </cell>
        </row>
        <row r="917">
          <cell r="M917" t="str">
            <v>恋爱</v>
          </cell>
        </row>
        <row r="917">
          <cell r="R917" t="str">
            <v>礼物</v>
          </cell>
          <cell r="S917">
            <v>138</v>
          </cell>
        </row>
        <row r="918">
          <cell r="M918" t="str">
            <v>恋爱</v>
          </cell>
        </row>
        <row r="918">
          <cell r="R918" t="str">
            <v>城内</v>
          </cell>
          <cell r="S918">
            <v>22.26</v>
          </cell>
        </row>
        <row r="919">
          <cell r="M919" t="str">
            <v>恋爱</v>
          </cell>
        </row>
        <row r="919">
          <cell r="R919" t="str">
            <v>礼物</v>
          </cell>
          <cell r="S919">
            <v>60</v>
          </cell>
        </row>
        <row r="920">
          <cell r="M920" t="str">
            <v>恋爱</v>
          </cell>
        </row>
        <row r="920">
          <cell r="R920" t="str">
            <v>住宿</v>
          </cell>
          <cell r="S920">
            <v>200</v>
          </cell>
        </row>
        <row r="921">
          <cell r="M921" t="str">
            <v>恋爱</v>
          </cell>
        </row>
        <row r="921">
          <cell r="R921" t="str">
            <v>吃喝</v>
          </cell>
          <cell r="S921">
            <v>20</v>
          </cell>
        </row>
        <row r="922">
          <cell r="M922" t="str">
            <v>恋爱</v>
          </cell>
        </row>
        <row r="922">
          <cell r="R922" t="str">
            <v>吃喝</v>
          </cell>
          <cell r="S922">
            <v>70</v>
          </cell>
        </row>
        <row r="923">
          <cell r="M923" t="str">
            <v>恋爱</v>
          </cell>
        </row>
        <row r="923">
          <cell r="R923" t="str">
            <v>吃喝</v>
          </cell>
          <cell r="S923">
            <v>29</v>
          </cell>
        </row>
        <row r="924">
          <cell r="M924" t="str">
            <v>恋爱</v>
          </cell>
        </row>
        <row r="924">
          <cell r="R924" t="str">
            <v>住宿</v>
          </cell>
          <cell r="S924">
            <v>203</v>
          </cell>
        </row>
        <row r="925">
          <cell r="M925" t="str">
            <v>恋爱</v>
          </cell>
        </row>
        <row r="925">
          <cell r="R925" t="str">
            <v>住宿</v>
          </cell>
          <cell r="S925">
            <v>-200</v>
          </cell>
        </row>
        <row r="926">
          <cell r="M926" t="str">
            <v>恋爱</v>
          </cell>
        </row>
        <row r="926">
          <cell r="R926" t="str">
            <v>吃喝</v>
          </cell>
          <cell r="S926">
            <v>21</v>
          </cell>
        </row>
        <row r="927">
          <cell r="M927" t="str">
            <v>恋爱</v>
          </cell>
        </row>
        <row r="927">
          <cell r="R927" t="str">
            <v>城际</v>
          </cell>
          <cell r="S927">
            <v>450</v>
          </cell>
        </row>
        <row r="928">
          <cell r="M928" t="str">
            <v>恋爱</v>
          </cell>
        </row>
        <row r="928">
          <cell r="R928" t="str">
            <v>吃喝</v>
          </cell>
          <cell r="S928">
            <v>39</v>
          </cell>
        </row>
        <row r="929">
          <cell r="M929" t="str">
            <v>恋爱</v>
          </cell>
        </row>
        <row r="929">
          <cell r="R929" t="str">
            <v>吃喝</v>
          </cell>
          <cell r="S929">
            <v>469</v>
          </cell>
        </row>
        <row r="930">
          <cell r="M930" t="str">
            <v>恋爱</v>
          </cell>
        </row>
        <row r="930">
          <cell r="R930" t="str">
            <v>吃喝</v>
          </cell>
          <cell r="S930">
            <v>12</v>
          </cell>
        </row>
        <row r="931">
          <cell r="M931" t="str">
            <v>恋爱</v>
          </cell>
        </row>
        <row r="931">
          <cell r="R931" t="str">
            <v>吃喝</v>
          </cell>
          <cell r="S931">
            <v>8</v>
          </cell>
        </row>
        <row r="932">
          <cell r="M932" t="str">
            <v>个人借款</v>
          </cell>
        </row>
        <row r="932">
          <cell r="S932">
            <v>-15000</v>
          </cell>
        </row>
        <row r="933">
          <cell r="M933" t="str">
            <v>出行</v>
          </cell>
        </row>
        <row r="933">
          <cell r="S933">
            <v>1070</v>
          </cell>
        </row>
        <row r="934">
          <cell r="M934" t="str">
            <v>出行</v>
          </cell>
        </row>
        <row r="934">
          <cell r="S934">
            <v>859</v>
          </cell>
        </row>
        <row r="935">
          <cell r="M935" t="str">
            <v>话费</v>
          </cell>
        </row>
        <row r="935">
          <cell r="S935">
            <v>50</v>
          </cell>
        </row>
        <row r="936">
          <cell r="M936" t="str">
            <v>恋爱</v>
          </cell>
        </row>
        <row r="936">
          <cell r="R936" t="str">
            <v>城际</v>
          </cell>
          <cell r="S936">
            <v>-149</v>
          </cell>
        </row>
        <row r="937">
          <cell r="M937" t="str">
            <v>会员</v>
          </cell>
        </row>
        <row r="937">
          <cell r="S937">
            <v>15</v>
          </cell>
        </row>
        <row r="938">
          <cell r="M938" t="str">
            <v>出行</v>
          </cell>
        </row>
        <row r="938">
          <cell r="S938">
            <v>16.88</v>
          </cell>
        </row>
        <row r="939">
          <cell r="M939" t="str">
            <v>会员</v>
          </cell>
        </row>
        <row r="939">
          <cell r="S939">
            <v>15</v>
          </cell>
        </row>
        <row r="940">
          <cell r="M940" t="str">
            <v>保山</v>
          </cell>
        </row>
        <row r="940">
          <cell r="S940">
            <v>48</v>
          </cell>
        </row>
        <row r="941">
          <cell r="M941" t="str">
            <v>保山</v>
          </cell>
        </row>
        <row r="941">
          <cell r="S941">
            <v>1</v>
          </cell>
        </row>
        <row r="942">
          <cell r="M942" t="str">
            <v>日用</v>
          </cell>
        </row>
        <row r="942">
          <cell r="S942">
            <v>-1</v>
          </cell>
        </row>
        <row r="943">
          <cell r="M943" t="str">
            <v>游戏</v>
          </cell>
        </row>
        <row r="943">
          <cell r="S943">
            <v>6</v>
          </cell>
        </row>
        <row r="944">
          <cell r="M944" t="str">
            <v>游戏</v>
          </cell>
        </row>
        <row r="944">
          <cell r="S944">
            <v>6</v>
          </cell>
        </row>
        <row r="945">
          <cell r="M945" t="str">
            <v>保山</v>
          </cell>
        </row>
        <row r="945">
          <cell r="S945">
            <v>1408.9</v>
          </cell>
        </row>
        <row r="946">
          <cell r="M946" t="str">
            <v>保山</v>
          </cell>
        </row>
        <row r="946">
          <cell r="S946">
            <v>1502.9</v>
          </cell>
        </row>
        <row r="947">
          <cell r="M947" t="str">
            <v>保山</v>
          </cell>
        </row>
        <row r="947">
          <cell r="S947">
            <v>23.27</v>
          </cell>
        </row>
        <row r="948">
          <cell r="M948" t="str">
            <v>保山</v>
          </cell>
        </row>
        <row r="948">
          <cell r="S948">
            <v>34.63</v>
          </cell>
        </row>
        <row r="949">
          <cell r="M949" t="str">
            <v>保山</v>
          </cell>
        </row>
        <row r="949">
          <cell r="S949">
            <v>15.83</v>
          </cell>
        </row>
        <row r="950">
          <cell r="M950" t="str">
            <v>保山</v>
          </cell>
        </row>
        <row r="950">
          <cell r="S950">
            <v>902.01</v>
          </cell>
        </row>
        <row r="951">
          <cell r="M951" t="str">
            <v>日用</v>
          </cell>
        </row>
        <row r="951">
          <cell r="S951">
            <v>-899</v>
          </cell>
        </row>
        <row r="952">
          <cell r="M952" t="str">
            <v>保山</v>
          </cell>
        </row>
        <row r="952">
          <cell r="S952">
            <v>899</v>
          </cell>
        </row>
        <row r="953">
          <cell r="M953" t="str">
            <v>保山</v>
          </cell>
        </row>
        <row r="953">
          <cell r="S953">
            <v>159</v>
          </cell>
        </row>
        <row r="954">
          <cell r="M954" t="str">
            <v>游戏</v>
          </cell>
        </row>
        <row r="954">
          <cell r="S954">
            <v>6</v>
          </cell>
        </row>
        <row r="955">
          <cell r="M955" t="str">
            <v>游戏</v>
          </cell>
        </row>
        <row r="955">
          <cell r="S955">
            <v>30</v>
          </cell>
        </row>
        <row r="956">
          <cell r="M956" t="str">
            <v>保山</v>
          </cell>
        </row>
        <row r="956">
          <cell r="S956">
            <v>99</v>
          </cell>
        </row>
        <row r="957">
          <cell r="M957" t="str">
            <v>保山</v>
          </cell>
        </row>
        <row r="957">
          <cell r="S957">
            <v>127</v>
          </cell>
        </row>
        <row r="958">
          <cell r="M958" t="str">
            <v>保山</v>
          </cell>
        </row>
        <row r="958">
          <cell r="S958">
            <v>75</v>
          </cell>
        </row>
        <row r="959">
          <cell r="M959" t="str">
            <v>保山</v>
          </cell>
        </row>
        <row r="959">
          <cell r="S959">
            <v>10</v>
          </cell>
        </row>
        <row r="960">
          <cell r="M960" t="str">
            <v>保山</v>
          </cell>
        </row>
        <row r="960">
          <cell r="S960">
            <v>4</v>
          </cell>
        </row>
        <row r="961">
          <cell r="M961" t="str">
            <v>保山</v>
          </cell>
        </row>
        <row r="961">
          <cell r="S961">
            <v>78</v>
          </cell>
        </row>
        <row r="962">
          <cell r="M962" t="str">
            <v>保山</v>
          </cell>
        </row>
        <row r="962">
          <cell r="S962">
            <v>80</v>
          </cell>
        </row>
        <row r="963">
          <cell r="M963" t="str">
            <v>保山</v>
          </cell>
        </row>
        <row r="963">
          <cell r="S963">
            <v>208</v>
          </cell>
        </row>
        <row r="964">
          <cell r="M964" t="str">
            <v>社交</v>
          </cell>
        </row>
        <row r="964">
          <cell r="S964">
            <v>174</v>
          </cell>
        </row>
        <row r="965">
          <cell r="M965" t="str">
            <v>社交</v>
          </cell>
        </row>
        <row r="965">
          <cell r="S965">
            <v>44.5</v>
          </cell>
        </row>
        <row r="966">
          <cell r="M966" t="str">
            <v>社交</v>
          </cell>
        </row>
        <row r="966">
          <cell r="S966">
            <v>14.62</v>
          </cell>
        </row>
        <row r="967">
          <cell r="M967" t="str">
            <v>社交</v>
          </cell>
        </row>
        <row r="967">
          <cell r="S967">
            <v>54.5</v>
          </cell>
        </row>
        <row r="968">
          <cell r="M968" t="str">
            <v>出行</v>
          </cell>
        </row>
        <row r="968">
          <cell r="S968">
            <v>517.5</v>
          </cell>
        </row>
        <row r="969">
          <cell r="M969" t="str">
            <v>社交</v>
          </cell>
        </row>
        <row r="969">
          <cell r="S969">
            <v>14.62</v>
          </cell>
        </row>
        <row r="970">
          <cell r="M970" t="str">
            <v>社交</v>
          </cell>
        </row>
        <row r="970">
          <cell r="S970">
            <v>24.15</v>
          </cell>
        </row>
        <row r="971">
          <cell r="M971" t="str">
            <v>日用</v>
          </cell>
        </row>
        <row r="971">
          <cell r="S971">
            <v>-5</v>
          </cell>
        </row>
        <row r="972">
          <cell r="M972" t="str">
            <v>社交</v>
          </cell>
        </row>
        <row r="972">
          <cell r="S972">
            <v>25</v>
          </cell>
        </row>
        <row r="973">
          <cell r="M973" t="str">
            <v>社交</v>
          </cell>
        </row>
        <row r="973">
          <cell r="S973">
            <v>27.29</v>
          </cell>
        </row>
        <row r="974">
          <cell r="M974" t="str">
            <v>社交</v>
          </cell>
        </row>
        <row r="974">
          <cell r="S974">
            <v>90</v>
          </cell>
        </row>
        <row r="975">
          <cell r="M975" t="str">
            <v>社交</v>
          </cell>
        </row>
        <row r="975">
          <cell r="S975">
            <v>36.79</v>
          </cell>
        </row>
        <row r="976">
          <cell r="M976" t="str">
            <v>社交</v>
          </cell>
        </row>
        <row r="976">
          <cell r="S976">
            <v>34.11</v>
          </cell>
        </row>
        <row r="977">
          <cell r="M977" t="str">
            <v>社交</v>
          </cell>
        </row>
        <row r="977">
          <cell r="S977">
            <v>28.96</v>
          </cell>
        </row>
        <row r="978">
          <cell r="M978" t="str">
            <v>社交</v>
          </cell>
        </row>
        <row r="978">
          <cell r="S978">
            <v>17</v>
          </cell>
        </row>
        <row r="979">
          <cell r="M979" t="str">
            <v>恋爱</v>
          </cell>
        </row>
        <row r="979">
          <cell r="R979" t="str">
            <v>吃喝</v>
          </cell>
          <cell r="S979">
            <v>120</v>
          </cell>
        </row>
        <row r="980">
          <cell r="M980" t="str">
            <v>日用</v>
          </cell>
        </row>
        <row r="980">
          <cell r="S980">
            <v>200</v>
          </cell>
        </row>
        <row r="981">
          <cell r="M981" t="str">
            <v>晚餐</v>
          </cell>
        </row>
        <row r="981">
          <cell r="S981">
            <v>24</v>
          </cell>
        </row>
        <row r="982">
          <cell r="M982" t="str">
            <v>日用</v>
          </cell>
        </row>
        <row r="982">
          <cell r="S982">
            <v>77.5</v>
          </cell>
        </row>
        <row r="983">
          <cell r="M983" t="str">
            <v>晚餐</v>
          </cell>
        </row>
        <row r="983">
          <cell r="S983">
            <v>12</v>
          </cell>
        </row>
        <row r="984">
          <cell r="M984" t="str">
            <v>电费</v>
          </cell>
        </row>
        <row r="984">
          <cell r="S984">
            <v>100</v>
          </cell>
        </row>
        <row r="985">
          <cell r="M985" t="str">
            <v>晚餐</v>
          </cell>
        </row>
        <row r="985">
          <cell r="S985">
            <v>15</v>
          </cell>
        </row>
        <row r="986">
          <cell r="M986" t="str">
            <v>日用</v>
          </cell>
        </row>
        <row r="986">
          <cell r="S986">
            <v>29.8</v>
          </cell>
        </row>
        <row r="987">
          <cell r="M987" t="str">
            <v>晚餐</v>
          </cell>
        </row>
        <row r="987">
          <cell r="S987">
            <v>13</v>
          </cell>
        </row>
        <row r="988">
          <cell r="M988" t="str">
            <v>晚餐</v>
          </cell>
        </row>
        <row r="988">
          <cell r="S988">
            <v>24.3</v>
          </cell>
        </row>
        <row r="989">
          <cell r="M989" t="str">
            <v>日用</v>
          </cell>
        </row>
        <row r="989">
          <cell r="S989">
            <v>10</v>
          </cell>
        </row>
        <row r="990">
          <cell r="M990" t="str">
            <v>日用</v>
          </cell>
        </row>
        <row r="990">
          <cell r="S990">
            <v>6</v>
          </cell>
        </row>
        <row r="991">
          <cell r="M991" t="str">
            <v>晚餐</v>
          </cell>
        </row>
        <row r="991">
          <cell r="S991">
            <v>26</v>
          </cell>
        </row>
        <row r="992">
          <cell r="M992" t="str">
            <v>日用</v>
          </cell>
        </row>
        <row r="992">
          <cell r="S992">
            <v>8</v>
          </cell>
        </row>
        <row r="993">
          <cell r="M993" t="str">
            <v>晚餐</v>
          </cell>
        </row>
        <row r="993">
          <cell r="S993">
            <v>10</v>
          </cell>
        </row>
        <row r="994">
          <cell r="M994" t="str">
            <v>水费</v>
          </cell>
        </row>
        <row r="994">
          <cell r="S994">
            <v>20</v>
          </cell>
        </row>
        <row r="995">
          <cell r="M995" t="str">
            <v>菜钱</v>
          </cell>
        </row>
        <row r="995">
          <cell r="S995">
            <v>82.56</v>
          </cell>
        </row>
        <row r="996">
          <cell r="M996" t="str">
            <v>小资</v>
          </cell>
        </row>
        <row r="996">
          <cell r="R996" t="str">
            <v>电影</v>
          </cell>
          <cell r="S996">
            <v>38.8</v>
          </cell>
        </row>
        <row r="997">
          <cell r="M997" t="str">
            <v>出行</v>
          </cell>
        </row>
        <row r="997">
          <cell r="S997">
            <v>11.3</v>
          </cell>
        </row>
        <row r="998">
          <cell r="M998" t="str">
            <v>菜钱</v>
          </cell>
        </row>
        <row r="998">
          <cell r="S998">
            <v>52.21</v>
          </cell>
        </row>
        <row r="999">
          <cell r="M999" t="str">
            <v>日用</v>
          </cell>
        </row>
        <row r="999">
          <cell r="S999">
            <v>13.25</v>
          </cell>
        </row>
        <row r="1000">
          <cell r="M1000" t="str">
            <v>菜钱</v>
          </cell>
        </row>
        <row r="1000">
          <cell r="S1000">
            <v>24.85</v>
          </cell>
        </row>
        <row r="1001">
          <cell r="M1001" t="str">
            <v>菜钱</v>
          </cell>
        </row>
        <row r="1001">
          <cell r="S1001">
            <v>5.9</v>
          </cell>
        </row>
        <row r="1002">
          <cell r="M1002" t="str">
            <v>晚餐</v>
          </cell>
        </row>
        <row r="1002">
          <cell r="S1002">
            <v>10</v>
          </cell>
        </row>
        <row r="1003">
          <cell r="M1003" t="str">
            <v>日用</v>
          </cell>
        </row>
        <row r="1003">
          <cell r="S1003">
            <v>29</v>
          </cell>
        </row>
        <row r="1004">
          <cell r="M1004" t="str">
            <v>晚餐</v>
          </cell>
        </row>
        <row r="1004">
          <cell r="S1004">
            <v>3</v>
          </cell>
        </row>
        <row r="1005">
          <cell r="M1005" t="str">
            <v>菜钱</v>
          </cell>
        </row>
        <row r="1005">
          <cell r="S1005">
            <v>14.06</v>
          </cell>
        </row>
        <row r="1006">
          <cell r="M1006" t="str">
            <v>菜钱</v>
          </cell>
        </row>
        <row r="1006">
          <cell r="S1006">
            <v>29</v>
          </cell>
        </row>
        <row r="1007">
          <cell r="M1007" t="str">
            <v>菜钱</v>
          </cell>
        </row>
        <row r="1007">
          <cell r="S1007">
            <v>12</v>
          </cell>
        </row>
        <row r="1008">
          <cell r="M1008" t="str">
            <v>会员</v>
          </cell>
        </row>
        <row r="1008">
          <cell r="S1008">
            <v>19</v>
          </cell>
        </row>
        <row r="1009">
          <cell r="M1009" t="str">
            <v>菜钱</v>
          </cell>
        </row>
        <row r="1009">
          <cell r="S1009">
            <v>5.95</v>
          </cell>
        </row>
        <row r="1010">
          <cell r="M1010" t="str">
            <v>菜钱</v>
          </cell>
        </row>
        <row r="1010">
          <cell r="S1010">
            <v>32</v>
          </cell>
        </row>
        <row r="1011">
          <cell r="M1011" t="str">
            <v>晚餐</v>
          </cell>
        </row>
        <row r="1011">
          <cell r="S1011">
            <v>10</v>
          </cell>
        </row>
        <row r="1012">
          <cell r="M1012" t="str">
            <v>菜钱</v>
          </cell>
        </row>
        <row r="1012">
          <cell r="S1012">
            <v>5.8</v>
          </cell>
        </row>
        <row r="1013">
          <cell r="M1013" t="str">
            <v>菜钱</v>
          </cell>
        </row>
        <row r="1013">
          <cell r="S1013">
            <v>15.94</v>
          </cell>
        </row>
        <row r="1014">
          <cell r="M1014" t="str">
            <v>菜钱</v>
          </cell>
        </row>
        <row r="1014">
          <cell r="S1014">
            <v>6.06</v>
          </cell>
        </row>
        <row r="1015">
          <cell r="M1015" t="str">
            <v>菜钱</v>
          </cell>
        </row>
        <row r="1015">
          <cell r="S1015">
            <v>3.43</v>
          </cell>
        </row>
        <row r="1016">
          <cell r="M1016" t="str">
            <v>菜钱</v>
          </cell>
        </row>
        <row r="1016">
          <cell r="S1016">
            <v>9.9</v>
          </cell>
        </row>
        <row r="1017">
          <cell r="M1017" t="str">
            <v>菜钱</v>
          </cell>
        </row>
        <row r="1017">
          <cell r="S1017">
            <v>-9.9</v>
          </cell>
        </row>
        <row r="1018">
          <cell r="M1018" t="str">
            <v>菜钱</v>
          </cell>
        </row>
        <row r="1018">
          <cell r="S1018">
            <v>4.95</v>
          </cell>
        </row>
        <row r="1019">
          <cell r="M1019" t="str">
            <v>菜钱</v>
          </cell>
        </row>
        <row r="1019">
          <cell r="S1019">
            <v>6</v>
          </cell>
        </row>
        <row r="1020">
          <cell r="M1020" t="str">
            <v>菜钱</v>
          </cell>
        </row>
        <row r="1020">
          <cell r="S1020">
            <v>16.09</v>
          </cell>
        </row>
        <row r="1021">
          <cell r="M1021" t="str">
            <v>菜钱</v>
          </cell>
        </row>
        <row r="1021">
          <cell r="S1021">
            <v>12</v>
          </cell>
        </row>
        <row r="1022">
          <cell r="M1022" t="str">
            <v>恋爱</v>
          </cell>
        </row>
        <row r="1022">
          <cell r="R1022" t="str">
            <v>城际</v>
          </cell>
          <cell r="S1022">
            <v>1076</v>
          </cell>
        </row>
        <row r="1023">
          <cell r="M1023" t="str">
            <v>出行</v>
          </cell>
        </row>
        <row r="1023">
          <cell r="S1023">
            <v>9.9</v>
          </cell>
        </row>
        <row r="1024">
          <cell r="M1024" t="str">
            <v>恋爱</v>
          </cell>
        </row>
        <row r="1024">
          <cell r="R1024" t="str">
            <v>住宿</v>
          </cell>
          <cell r="S1024">
            <v>159</v>
          </cell>
        </row>
        <row r="1025">
          <cell r="M1025" t="str">
            <v>恋爱</v>
          </cell>
        </row>
        <row r="1025">
          <cell r="R1025" t="str">
            <v>城内</v>
          </cell>
          <cell r="S1025">
            <v>10</v>
          </cell>
        </row>
        <row r="1026">
          <cell r="M1026" t="str">
            <v>恋爱</v>
          </cell>
        </row>
        <row r="1026">
          <cell r="R1026" t="str">
            <v>吃喝</v>
          </cell>
          <cell r="S1026">
            <v>10</v>
          </cell>
        </row>
        <row r="1027">
          <cell r="M1027" t="str">
            <v>恋爱</v>
          </cell>
        </row>
        <row r="1027">
          <cell r="R1027" t="str">
            <v>城内</v>
          </cell>
          <cell r="S1027">
            <v>47.01</v>
          </cell>
        </row>
        <row r="1028">
          <cell r="M1028" t="str">
            <v>恋爱</v>
          </cell>
        </row>
        <row r="1028">
          <cell r="R1028" t="str">
            <v>住宿</v>
          </cell>
          <cell r="S1028">
            <v>-159</v>
          </cell>
        </row>
        <row r="1029">
          <cell r="M1029" t="str">
            <v>恋爱</v>
          </cell>
        </row>
        <row r="1029">
          <cell r="R1029" t="str">
            <v>吃喝</v>
          </cell>
          <cell r="S1029">
            <v>15</v>
          </cell>
        </row>
        <row r="1030">
          <cell r="M1030" t="str">
            <v>恋爱</v>
          </cell>
        </row>
        <row r="1030">
          <cell r="R1030" t="str">
            <v>吃喝</v>
          </cell>
          <cell r="S1030">
            <v>1</v>
          </cell>
        </row>
        <row r="1031">
          <cell r="M1031" t="str">
            <v>恋爱</v>
          </cell>
        </row>
        <row r="1031">
          <cell r="R1031" t="str">
            <v>吃喝</v>
          </cell>
          <cell r="S1031">
            <v>34</v>
          </cell>
        </row>
        <row r="1032">
          <cell r="M1032" t="str">
            <v>恋爱</v>
          </cell>
        </row>
        <row r="1032">
          <cell r="R1032" t="str">
            <v>吃喝</v>
          </cell>
          <cell r="S1032">
            <v>26</v>
          </cell>
        </row>
        <row r="1033">
          <cell r="M1033" t="str">
            <v>恋爱</v>
          </cell>
        </row>
        <row r="1033">
          <cell r="R1033" t="str">
            <v>吃喝</v>
          </cell>
          <cell r="S1033">
            <v>18.7</v>
          </cell>
        </row>
        <row r="1034">
          <cell r="M1034" t="str">
            <v>恋爱</v>
          </cell>
        </row>
        <row r="1034">
          <cell r="R1034" t="str">
            <v>吃喝</v>
          </cell>
          <cell r="S1034">
            <v>20</v>
          </cell>
        </row>
        <row r="1035">
          <cell r="M1035" t="str">
            <v>日用</v>
          </cell>
        </row>
        <row r="1035">
          <cell r="S1035">
            <v>9.5</v>
          </cell>
        </row>
        <row r="1036">
          <cell r="M1036" t="str">
            <v>恋爱</v>
          </cell>
        </row>
        <row r="1036">
          <cell r="R1036" t="str">
            <v>城内</v>
          </cell>
          <cell r="S1036">
            <v>52.47</v>
          </cell>
        </row>
        <row r="1037">
          <cell r="M1037" t="str">
            <v>晚餐</v>
          </cell>
        </row>
        <row r="1037">
          <cell r="S1037">
            <v>12</v>
          </cell>
        </row>
        <row r="1038">
          <cell r="M1038" t="str">
            <v>水费</v>
          </cell>
        </row>
        <row r="1038">
          <cell r="S1038">
            <v>20</v>
          </cell>
        </row>
        <row r="1039">
          <cell r="M1039" t="str">
            <v>菜钱</v>
          </cell>
        </row>
        <row r="1039">
          <cell r="S1039">
            <v>9.32</v>
          </cell>
        </row>
        <row r="1040">
          <cell r="M1040" t="str">
            <v>会员</v>
          </cell>
        </row>
        <row r="1040">
          <cell r="S1040">
            <v>15</v>
          </cell>
        </row>
        <row r="1041">
          <cell r="M1041" t="str">
            <v>晚餐</v>
          </cell>
        </row>
        <row r="1041">
          <cell r="S1041">
            <v>12</v>
          </cell>
        </row>
        <row r="1042">
          <cell r="M1042" t="str">
            <v>会员</v>
          </cell>
        </row>
        <row r="1042">
          <cell r="S1042">
            <v>15</v>
          </cell>
        </row>
        <row r="1043">
          <cell r="M1043" t="str">
            <v>菜钱</v>
          </cell>
        </row>
        <row r="1043">
          <cell r="S1043">
            <v>2.74</v>
          </cell>
        </row>
        <row r="1044">
          <cell r="M1044" t="str">
            <v>菜钱</v>
          </cell>
        </row>
        <row r="1044">
          <cell r="S1044">
            <v>2.45</v>
          </cell>
        </row>
        <row r="1045">
          <cell r="M1045" t="str">
            <v>菜钱</v>
          </cell>
        </row>
        <row r="1045">
          <cell r="S1045">
            <v>36.89</v>
          </cell>
        </row>
        <row r="1046">
          <cell r="M1046" t="str">
            <v>菜钱</v>
          </cell>
        </row>
        <row r="1046">
          <cell r="S1046">
            <v>5.97</v>
          </cell>
        </row>
        <row r="1047">
          <cell r="M1047" t="str">
            <v>菜钱</v>
          </cell>
        </row>
        <row r="1047">
          <cell r="S1047">
            <v>4.95</v>
          </cell>
        </row>
        <row r="1048">
          <cell r="M1048" t="str">
            <v>日用</v>
          </cell>
        </row>
        <row r="1048">
          <cell r="S1048">
            <v>19</v>
          </cell>
        </row>
        <row r="1049">
          <cell r="M1049" t="str">
            <v>菜钱</v>
          </cell>
        </row>
        <row r="1049">
          <cell r="S1049">
            <v>29.13</v>
          </cell>
        </row>
        <row r="1050">
          <cell r="M1050" t="str">
            <v>菜钱</v>
          </cell>
        </row>
        <row r="1050">
          <cell r="S1050">
            <v>15.9</v>
          </cell>
        </row>
        <row r="1051">
          <cell r="M1051" t="str">
            <v>菜钱</v>
          </cell>
        </row>
        <row r="1051">
          <cell r="S1051">
            <v>50</v>
          </cell>
        </row>
        <row r="1052">
          <cell r="M1052" t="str">
            <v>电费</v>
          </cell>
        </row>
        <row r="1052">
          <cell r="S1052">
            <v>20</v>
          </cell>
        </row>
        <row r="1053">
          <cell r="M1053" t="str">
            <v>菜钱</v>
          </cell>
        </row>
        <row r="1053">
          <cell r="S1053">
            <v>12.02</v>
          </cell>
        </row>
        <row r="1054">
          <cell r="M1054" t="str">
            <v>小资</v>
          </cell>
        </row>
        <row r="1054">
          <cell r="R1054" t="str">
            <v>鲜花</v>
          </cell>
          <cell r="S1054">
            <v>9.9</v>
          </cell>
        </row>
        <row r="1055">
          <cell r="M1055" t="str">
            <v>水费</v>
          </cell>
        </row>
        <row r="1055">
          <cell r="S1055">
            <v>20</v>
          </cell>
        </row>
        <row r="1056">
          <cell r="M1056" t="str">
            <v>社交</v>
          </cell>
        </row>
        <row r="1056">
          <cell r="S1056">
            <v>24</v>
          </cell>
        </row>
        <row r="1057">
          <cell r="M1057" t="str">
            <v>菜钱</v>
          </cell>
        </row>
        <row r="1057">
          <cell r="S1057">
            <v>18.75</v>
          </cell>
        </row>
        <row r="1058">
          <cell r="M1058" t="str">
            <v>菜钱</v>
          </cell>
        </row>
        <row r="1058">
          <cell r="S1058">
            <v>5.75</v>
          </cell>
        </row>
        <row r="1059">
          <cell r="M1059" t="str">
            <v>菜钱</v>
          </cell>
        </row>
        <row r="1059">
          <cell r="S1059">
            <v>16.4</v>
          </cell>
        </row>
        <row r="1060">
          <cell r="M1060" t="str">
            <v>菜钱</v>
          </cell>
        </row>
        <row r="1060">
          <cell r="S1060">
            <v>6.71</v>
          </cell>
        </row>
        <row r="1061">
          <cell r="M1061" t="str">
            <v>菜钱</v>
          </cell>
        </row>
        <row r="1061">
          <cell r="S1061">
            <v>37.63</v>
          </cell>
        </row>
        <row r="1062">
          <cell r="M1062" t="str">
            <v>菜钱</v>
          </cell>
        </row>
        <row r="1062">
          <cell r="S1062">
            <v>3.08</v>
          </cell>
        </row>
        <row r="1063">
          <cell r="M1063" t="str">
            <v>日用</v>
          </cell>
        </row>
        <row r="1063">
          <cell r="S1063">
            <v>20</v>
          </cell>
        </row>
        <row r="1064">
          <cell r="M1064" t="str">
            <v>菜钱</v>
          </cell>
        </row>
        <row r="1064">
          <cell r="S1064">
            <v>21.81</v>
          </cell>
        </row>
        <row r="1065">
          <cell r="M1065" t="str">
            <v>电费</v>
          </cell>
        </row>
        <row r="1065">
          <cell r="S1065">
            <v>50</v>
          </cell>
        </row>
        <row r="1066">
          <cell r="M1066" t="str">
            <v>菜钱</v>
          </cell>
        </row>
        <row r="1066">
          <cell r="S1066">
            <v>3.47</v>
          </cell>
        </row>
        <row r="1067">
          <cell r="M1067" t="str">
            <v>晚餐</v>
          </cell>
        </row>
        <row r="1067">
          <cell r="S1067">
            <v>12</v>
          </cell>
        </row>
        <row r="1068">
          <cell r="M1068" t="str">
            <v>出行</v>
          </cell>
        </row>
        <row r="1068">
          <cell r="S1068">
            <v>1.8</v>
          </cell>
        </row>
        <row r="1069">
          <cell r="M1069" t="str">
            <v>出行</v>
          </cell>
        </row>
        <row r="1069">
          <cell r="S1069">
            <v>4.5</v>
          </cell>
        </row>
        <row r="1070">
          <cell r="M1070" t="str">
            <v>小资</v>
          </cell>
        </row>
        <row r="1070">
          <cell r="R1070" t="str">
            <v>游玩</v>
          </cell>
          <cell r="S1070">
            <v>10</v>
          </cell>
        </row>
        <row r="1071">
          <cell r="M1071" t="str">
            <v>出行</v>
          </cell>
        </row>
        <row r="1071">
          <cell r="S1071">
            <v>4.5</v>
          </cell>
        </row>
        <row r="1072">
          <cell r="M1072" t="str">
            <v>出行</v>
          </cell>
        </row>
        <row r="1072">
          <cell r="S1072">
            <v>1.8</v>
          </cell>
        </row>
        <row r="1073">
          <cell r="M1073" t="str">
            <v>小资</v>
          </cell>
        </row>
        <row r="1073">
          <cell r="R1073" t="str">
            <v>电影</v>
          </cell>
          <cell r="S1073">
            <v>28</v>
          </cell>
        </row>
        <row r="1074">
          <cell r="M1074" t="str">
            <v>菜钱</v>
          </cell>
        </row>
        <row r="1074">
          <cell r="S1074">
            <v>38.25</v>
          </cell>
        </row>
        <row r="1075">
          <cell r="M1075" t="str">
            <v>日用</v>
          </cell>
        </row>
        <row r="1075">
          <cell r="S1075">
            <v>10</v>
          </cell>
        </row>
        <row r="1076">
          <cell r="M1076" t="str">
            <v>话费</v>
          </cell>
        </row>
        <row r="1076">
          <cell r="S1076">
            <v>50</v>
          </cell>
        </row>
        <row r="1077">
          <cell r="M1077" t="str">
            <v>水费</v>
          </cell>
        </row>
        <row r="1077">
          <cell r="S1077">
            <v>20</v>
          </cell>
        </row>
        <row r="1078">
          <cell r="M1078" t="str">
            <v>菜钱</v>
          </cell>
        </row>
        <row r="1078">
          <cell r="S1078">
            <v>4.76</v>
          </cell>
        </row>
        <row r="1079">
          <cell r="M1079" t="str">
            <v>小资</v>
          </cell>
        </row>
        <row r="1079">
          <cell r="R1079" t="str">
            <v>礼物</v>
          </cell>
          <cell r="S1079">
            <v>9</v>
          </cell>
        </row>
        <row r="1080">
          <cell r="M1080" t="str">
            <v>小资</v>
          </cell>
        </row>
        <row r="1080">
          <cell r="R1080" t="str">
            <v>鲜花</v>
          </cell>
          <cell r="S1080">
            <v>9.9</v>
          </cell>
        </row>
        <row r="1081">
          <cell r="M1081" t="str">
            <v>小资</v>
          </cell>
        </row>
        <row r="1081">
          <cell r="R1081" t="str">
            <v>礼物</v>
          </cell>
          <cell r="S1081">
            <v>52.8</v>
          </cell>
        </row>
        <row r="1082">
          <cell r="M1082" t="str">
            <v>小资</v>
          </cell>
        </row>
        <row r="1082">
          <cell r="R1082" t="str">
            <v>礼物</v>
          </cell>
          <cell r="S1082">
            <v>11.88</v>
          </cell>
        </row>
        <row r="1083">
          <cell r="M1083" t="str">
            <v>菜钱</v>
          </cell>
        </row>
        <row r="1083">
          <cell r="S1083">
            <v>24</v>
          </cell>
        </row>
        <row r="1084">
          <cell r="M1084" t="str">
            <v>菜钱</v>
          </cell>
        </row>
        <row r="1084">
          <cell r="S1084">
            <v>32.94</v>
          </cell>
        </row>
        <row r="1085">
          <cell r="M1085" t="str">
            <v>小资</v>
          </cell>
        </row>
        <row r="1085">
          <cell r="R1085" t="str">
            <v>礼物</v>
          </cell>
          <cell r="S1085">
            <v>122</v>
          </cell>
        </row>
        <row r="1086">
          <cell r="M1086" t="str">
            <v>小资</v>
          </cell>
        </row>
        <row r="1086">
          <cell r="R1086" t="str">
            <v>礼物</v>
          </cell>
          <cell r="S1086">
            <v>26.5</v>
          </cell>
        </row>
        <row r="1087">
          <cell r="M1087" t="str">
            <v>日用</v>
          </cell>
        </row>
        <row r="1087">
          <cell r="S1087">
            <v>8</v>
          </cell>
        </row>
        <row r="1088">
          <cell r="M1088" t="str">
            <v>日用</v>
          </cell>
        </row>
        <row r="1088">
          <cell r="S1088">
            <v>310</v>
          </cell>
        </row>
        <row r="1089">
          <cell r="M1089" t="str">
            <v>会员</v>
          </cell>
        </row>
        <row r="1089">
          <cell r="S1089">
            <v>9.9</v>
          </cell>
        </row>
        <row r="1090">
          <cell r="M1090" t="str">
            <v>日用</v>
          </cell>
        </row>
        <row r="1090">
          <cell r="S1090">
            <v>140</v>
          </cell>
        </row>
        <row r="1091">
          <cell r="M1091" t="str">
            <v>社交</v>
          </cell>
        </row>
        <row r="1091">
          <cell r="S1091">
            <v>9.65</v>
          </cell>
        </row>
        <row r="1092">
          <cell r="M1092" t="str">
            <v>日用</v>
          </cell>
        </row>
        <row r="1092">
          <cell r="S1092">
            <v>310</v>
          </cell>
        </row>
        <row r="1093">
          <cell r="M1093" t="str">
            <v>游戏</v>
          </cell>
        </row>
        <row r="1093">
          <cell r="S1093">
            <v>1</v>
          </cell>
        </row>
        <row r="1094">
          <cell r="M1094" t="str">
            <v>早餐</v>
          </cell>
        </row>
        <row r="1094">
          <cell r="S1094">
            <v>12</v>
          </cell>
        </row>
        <row r="1095">
          <cell r="M1095" t="str">
            <v>社交</v>
          </cell>
        </row>
        <row r="1095">
          <cell r="S1095">
            <v>13.23</v>
          </cell>
        </row>
        <row r="1096">
          <cell r="M1096" t="str">
            <v>菜钱</v>
          </cell>
        </row>
        <row r="1096">
          <cell r="S1096">
            <v>24</v>
          </cell>
        </row>
        <row r="1097">
          <cell r="M1097" t="str">
            <v>日用</v>
          </cell>
        </row>
        <row r="1097">
          <cell r="S1097">
            <v>5.64</v>
          </cell>
        </row>
        <row r="1098">
          <cell r="M1098" t="str">
            <v>早餐</v>
          </cell>
        </row>
        <row r="1098">
          <cell r="S1098">
            <v>12</v>
          </cell>
        </row>
        <row r="1099">
          <cell r="M1099" t="str">
            <v>恋爱</v>
          </cell>
        </row>
        <row r="1099">
          <cell r="R1099" t="str">
            <v>消费</v>
          </cell>
          <cell r="S1099">
            <v>12.6</v>
          </cell>
        </row>
        <row r="1100">
          <cell r="M1100" t="str">
            <v>恋爱</v>
          </cell>
        </row>
        <row r="1100">
          <cell r="R1100" t="str">
            <v>消费</v>
          </cell>
          <cell r="S1100">
            <v>32.4</v>
          </cell>
        </row>
        <row r="1101">
          <cell r="M1101" t="str">
            <v>恋爱</v>
          </cell>
        </row>
        <row r="1101">
          <cell r="R1101" t="str">
            <v>消费</v>
          </cell>
          <cell r="S1101">
            <v>50</v>
          </cell>
        </row>
        <row r="1102">
          <cell r="M1102" t="str">
            <v>恋爱</v>
          </cell>
        </row>
        <row r="1102">
          <cell r="R1102" t="str">
            <v>礼物</v>
          </cell>
          <cell r="S1102">
            <v>8</v>
          </cell>
        </row>
        <row r="1103">
          <cell r="M1103" t="str">
            <v>菜钱</v>
          </cell>
        </row>
        <row r="1103">
          <cell r="S1103">
            <v>40</v>
          </cell>
        </row>
        <row r="1104">
          <cell r="M1104" t="str">
            <v>恋爱</v>
          </cell>
        </row>
        <row r="1104">
          <cell r="R1104" t="str">
            <v>礼物</v>
          </cell>
          <cell r="S1104">
            <v>59.4</v>
          </cell>
        </row>
        <row r="1105">
          <cell r="M1105" t="str">
            <v>恋爱</v>
          </cell>
        </row>
        <row r="1105">
          <cell r="R1105" t="str">
            <v>吃喝</v>
          </cell>
          <cell r="S1105">
            <v>12</v>
          </cell>
        </row>
        <row r="1106">
          <cell r="M1106" t="str">
            <v>菜钱</v>
          </cell>
        </row>
        <row r="1106">
          <cell r="S1106">
            <v>41.53</v>
          </cell>
        </row>
        <row r="1107">
          <cell r="M1107" t="str">
            <v>菜钱</v>
          </cell>
        </row>
        <row r="1107">
          <cell r="S1107">
            <v>20.4</v>
          </cell>
        </row>
        <row r="1108">
          <cell r="M1108" t="str">
            <v>电费</v>
          </cell>
        </row>
        <row r="1108">
          <cell r="S1108">
            <v>100</v>
          </cell>
        </row>
        <row r="1109">
          <cell r="M1109" t="str">
            <v>个人借款</v>
          </cell>
        </row>
        <row r="1109">
          <cell r="S1109">
            <v>-10000</v>
          </cell>
        </row>
        <row r="1110">
          <cell r="M1110" t="str">
            <v>网贷还本</v>
          </cell>
        </row>
        <row r="1110">
          <cell r="R1110" t="str">
            <v>浙江网商银行</v>
          </cell>
          <cell r="S1110">
            <v>10000</v>
          </cell>
        </row>
        <row r="1111">
          <cell r="M1111" t="str">
            <v>恋爱</v>
          </cell>
        </row>
        <row r="1111">
          <cell r="R1111" t="str">
            <v>城内</v>
          </cell>
          <cell r="S1111">
            <v>43.8</v>
          </cell>
        </row>
        <row r="1112">
          <cell r="M1112" t="str">
            <v>恋爱</v>
          </cell>
        </row>
        <row r="1112">
          <cell r="R1112" t="str">
            <v>城内</v>
          </cell>
          <cell r="S1112">
            <v>45.16</v>
          </cell>
        </row>
        <row r="1113">
          <cell r="M1113" t="str">
            <v>恋爱</v>
          </cell>
        </row>
        <row r="1113">
          <cell r="R1113" t="str">
            <v>吃喝</v>
          </cell>
          <cell r="S1113">
            <v>30</v>
          </cell>
        </row>
        <row r="1114">
          <cell r="M1114" t="str">
            <v>恋爱</v>
          </cell>
        </row>
        <row r="1114">
          <cell r="R1114" t="str">
            <v>吃喝</v>
          </cell>
          <cell r="S1114">
            <v>8</v>
          </cell>
        </row>
        <row r="1115">
          <cell r="M1115" t="str">
            <v>恋爱</v>
          </cell>
        </row>
        <row r="1115">
          <cell r="R1115" t="str">
            <v>城内</v>
          </cell>
          <cell r="S1115">
            <v>29.94</v>
          </cell>
        </row>
        <row r="1116">
          <cell r="M1116" t="str">
            <v>恋爱</v>
          </cell>
        </row>
        <row r="1116">
          <cell r="R1116" t="str">
            <v>吃喝</v>
          </cell>
          <cell r="S1116">
            <v>344</v>
          </cell>
        </row>
        <row r="1117">
          <cell r="M1117" t="str">
            <v>恋爱</v>
          </cell>
        </row>
        <row r="1117">
          <cell r="R1117" t="str">
            <v>吃喝</v>
          </cell>
          <cell r="S1117">
            <v>4</v>
          </cell>
        </row>
        <row r="1118">
          <cell r="M1118" t="str">
            <v>恋爱</v>
          </cell>
        </row>
        <row r="1118">
          <cell r="R1118" t="str">
            <v>城内</v>
          </cell>
          <cell r="S1118">
            <v>4.5</v>
          </cell>
        </row>
        <row r="1119">
          <cell r="M1119" t="str">
            <v>恋爱</v>
          </cell>
        </row>
        <row r="1119">
          <cell r="R1119" t="str">
            <v>吃喝</v>
          </cell>
          <cell r="S1119">
            <v>8</v>
          </cell>
        </row>
        <row r="1120">
          <cell r="M1120" t="str">
            <v>恋爱</v>
          </cell>
        </row>
        <row r="1120">
          <cell r="R1120" t="str">
            <v>吃喝</v>
          </cell>
          <cell r="S1120">
            <v>15</v>
          </cell>
        </row>
        <row r="1121">
          <cell r="M1121" t="str">
            <v>恋爱</v>
          </cell>
        </row>
        <row r="1121">
          <cell r="R1121" t="str">
            <v>吃喝</v>
          </cell>
          <cell r="S1121">
            <v>20</v>
          </cell>
        </row>
        <row r="1122">
          <cell r="M1122" t="str">
            <v>恋爱</v>
          </cell>
        </row>
        <row r="1122">
          <cell r="R1122" t="str">
            <v>吃喝</v>
          </cell>
          <cell r="S1122">
            <v>76</v>
          </cell>
        </row>
        <row r="1123">
          <cell r="M1123" t="str">
            <v>恋爱</v>
          </cell>
        </row>
        <row r="1123">
          <cell r="R1123" t="str">
            <v>吃喝</v>
          </cell>
          <cell r="S1123">
            <v>5</v>
          </cell>
        </row>
        <row r="1124">
          <cell r="M1124" t="str">
            <v>恋爱</v>
          </cell>
        </row>
        <row r="1124">
          <cell r="R1124" t="str">
            <v>吃喝</v>
          </cell>
          <cell r="S1124">
            <v>35</v>
          </cell>
        </row>
        <row r="1125">
          <cell r="M1125" t="str">
            <v>日用</v>
          </cell>
        </row>
        <row r="1125">
          <cell r="S1125">
            <v>50</v>
          </cell>
        </row>
        <row r="1126">
          <cell r="M1126" t="str">
            <v>恋爱</v>
          </cell>
        </row>
        <row r="1126">
          <cell r="R1126" t="str">
            <v>城内</v>
          </cell>
          <cell r="S1126">
            <v>12.85</v>
          </cell>
        </row>
        <row r="1127">
          <cell r="M1127" t="str">
            <v>恋爱</v>
          </cell>
        </row>
        <row r="1127">
          <cell r="R1127" t="str">
            <v>城内</v>
          </cell>
          <cell r="S1127">
            <v>18.07</v>
          </cell>
        </row>
        <row r="1128">
          <cell r="M1128" t="str">
            <v>恋爱</v>
          </cell>
        </row>
        <row r="1128">
          <cell r="R1128" t="str">
            <v>吃喝</v>
          </cell>
          <cell r="S1128">
            <v>88</v>
          </cell>
        </row>
        <row r="1129">
          <cell r="M1129" t="str">
            <v>恋爱</v>
          </cell>
        </row>
        <row r="1129">
          <cell r="R1129" t="str">
            <v>吃喝</v>
          </cell>
          <cell r="S1129">
            <v>218</v>
          </cell>
        </row>
        <row r="1130">
          <cell r="M1130" t="str">
            <v>恋爱</v>
          </cell>
        </row>
        <row r="1130">
          <cell r="R1130" t="str">
            <v>城内</v>
          </cell>
          <cell r="S1130">
            <v>21.82</v>
          </cell>
        </row>
        <row r="1131">
          <cell r="M1131" t="str">
            <v>电费</v>
          </cell>
        </row>
        <row r="1131">
          <cell r="S1131">
            <v>20</v>
          </cell>
        </row>
        <row r="1132">
          <cell r="M1132" t="str">
            <v>恋爱</v>
          </cell>
        </row>
        <row r="1132">
          <cell r="R1132" t="str">
            <v>城内</v>
          </cell>
          <cell r="S1132">
            <v>66.77</v>
          </cell>
        </row>
        <row r="1133">
          <cell r="M1133" t="str">
            <v>出行</v>
          </cell>
        </row>
        <row r="1133">
          <cell r="S1133">
            <v>6.3</v>
          </cell>
        </row>
        <row r="1134">
          <cell r="M1134" t="str">
            <v>出行</v>
          </cell>
        </row>
        <row r="1134">
          <cell r="S1134">
            <v>2.7</v>
          </cell>
        </row>
        <row r="1135">
          <cell r="M1135" t="str">
            <v>出行</v>
          </cell>
        </row>
        <row r="1135">
          <cell r="S1135">
            <v>2.7</v>
          </cell>
        </row>
        <row r="1136">
          <cell r="M1136" t="str">
            <v>会员</v>
          </cell>
        </row>
        <row r="1136">
          <cell r="S1136">
            <v>19</v>
          </cell>
        </row>
        <row r="1137">
          <cell r="M1137" t="str">
            <v>出行</v>
          </cell>
        </row>
        <row r="1137">
          <cell r="S1137">
            <v>2.7</v>
          </cell>
        </row>
        <row r="1138">
          <cell r="M1138" t="str">
            <v>晚餐</v>
          </cell>
        </row>
        <row r="1138">
          <cell r="S1138">
            <v>19</v>
          </cell>
        </row>
        <row r="1139">
          <cell r="M1139" t="str">
            <v>出行</v>
          </cell>
        </row>
        <row r="1139">
          <cell r="S1139">
            <v>2.7</v>
          </cell>
        </row>
        <row r="1140">
          <cell r="M1140" t="str">
            <v>话费</v>
          </cell>
        </row>
        <row r="1140">
          <cell r="S1140">
            <v>100</v>
          </cell>
        </row>
        <row r="1141">
          <cell r="M1141" t="str">
            <v>话费</v>
          </cell>
        </row>
        <row r="1141">
          <cell r="S1141">
            <v>100</v>
          </cell>
        </row>
        <row r="1142">
          <cell r="M1142" t="str">
            <v>菜钱</v>
          </cell>
        </row>
        <row r="1142">
          <cell r="S1142">
            <v>55.1</v>
          </cell>
        </row>
        <row r="1143">
          <cell r="M1143" t="str">
            <v>菜钱</v>
          </cell>
        </row>
        <row r="1143">
          <cell r="S1143">
            <v>21.11</v>
          </cell>
        </row>
        <row r="1144">
          <cell r="M1144" t="str">
            <v>水费</v>
          </cell>
        </row>
        <row r="1144">
          <cell r="S1144">
            <v>20</v>
          </cell>
        </row>
        <row r="1145">
          <cell r="M1145" t="str">
            <v>出行</v>
          </cell>
        </row>
        <row r="1145">
          <cell r="S1145">
            <v>2.7</v>
          </cell>
        </row>
        <row r="1146">
          <cell r="M1146" t="str">
            <v>早餐</v>
          </cell>
        </row>
        <row r="1146">
          <cell r="S1146">
            <v>4</v>
          </cell>
        </row>
        <row r="1147">
          <cell r="M1147" t="str">
            <v>出行</v>
          </cell>
        </row>
        <row r="1147">
          <cell r="S1147">
            <v>2.7</v>
          </cell>
        </row>
        <row r="1148">
          <cell r="M1148" t="str">
            <v>晚餐</v>
          </cell>
        </row>
        <row r="1148">
          <cell r="S1148">
            <v>29</v>
          </cell>
        </row>
        <row r="1149">
          <cell r="M1149" t="str">
            <v>电费</v>
          </cell>
        </row>
        <row r="1149">
          <cell r="S1149">
            <v>50</v>
          </cell>
        </row>
        <row r="1150">
          <cell r="M1150" t="str">
            <v>会员</v>
          </cell>
        </row>
        <row r="1150">
          <cell r="S1150">
            <v>12</v>
          </cell>
        </row>
        <row r="1151">
          <cell r="M1151" t="str">
            <v>会员</v>
          </cell>
        </row>
        <row r="1151">
          <cell r="S1151">
            <v>2.95</v>
          </cell>
        </row>
        <row r="1152">
          <cell r="M1152" t="str">
            <v>会员</v>
          </cell>
        </row>
        <row r="1152">
          <cell r="S1152">
            <v>21.4</v>
          </cell>
        </row>
        <row r="1153">
          <cell r="M1153" t="str">
            <v>出行</v>
          </cell>
        </row>
        <row r="1153">
          <cell r="S1153">
            <v>2.7</v>
          </cell>
        </row>
        <row r="1154">
          <cell r="M1154" t="str">
            <v>晚餐</v>
          </cell>
        </row>
        <row r="1154">
          <cell r="S1154">
            <v>10</v>
          </cell>
        </row>
        <row r="1155">
          <cell r="M1155" t="str">
            <v>出行</v>
          </cell>
        </row>
        <row r="1155">
          <cell r="S1155">
            <v>2.7</v>
          </cell>
        </row>
        <row r="1156">
          <cell r="M1156" t="str">
            <v>菜钱</v>
          </cell>
        </row>
        <row r="1156">
          <cell r="S1156">
            <v>1.28</v>
          </cell>
        </row>
        <row r="1157">
          <cell r="M1157" t="str">
            <v>菜钱</v>
          </cell>
        </row>
        <row r="1157">
          <cell r="S1157">
            <v>20.42</v>
          </cell>
        </row>
        <row r="1158">
          <cell r="M1158" t="str">
            <v>课程</v>
          </cell>
        </row>
        <row r="1158">
          <cell r="S1158">
            <v>1</v>
          </cell>
        </row>
        <row r="1159">
          <cell r="M1159" t="str">
            <v>会员</v>
          </cell>
        </row>
        <row r="1159">
          <cell r="S1159">
            <v>148</v>
          </cell>
        </row>
        <row r="1160">
          <cell r="M1160" t="str">
            <v>晚餐</v>
          </cell>
        </row>
        <row r="1160">
          <cell r="S1160">
            <v>13</v>
          </cell>
        </row>
        <row r="1161">
          <cell r="M1161" t="str">
            <v>日用</v>
          </cell>
        </row>
        <row r="1161">
          <cell r="S1161">
            <v>45</v>
          </cell>
        </row>
        <row r="1162">
          <cell r="M1162" t="str">
            <v>出行</v>
          </cell>
        </row>
        <row r="1162">
          <cell r="S1162">
            <v>2.7</v>
          </cell>
        </row>
        <row r="1163">
          <cell r="M1163" t="str">
            <v>出行</v>
          </cell>
        </row>
        <row r="1163">
          <cell r="S1163">
            <v>2.7</v>
          </cell>
        </row>
        <row r="1164">
          <cell r="M1164" t="str">
            <v>菜钱</v>
          </cell>
        </row>
        <row r="1164">
          <cell r="S1164">
            <v>31.03</v>
          </cell>
        </row>
        <row r="1165">
          <cell r="M1165" t="str">
            <v>菜钱</v>
          </cell>
        </row>
        <row r="1165">
          <cell r="S1165">
            <v>13.86</v>
          </cell>
        </row>
        <row r="1166">
          <cell r="M1166" t="str">
            <v>会员</v>
          </cell>
        </row>
        <row r="1166">
          <cell r="S1166">
            <v>15</v>
          </cell>
        </row>
        <row r="1167">
          <cell r="M1167" t="str">
            <v>晚餐</v>
          </cell>
        </row>
        <row r="1167">
          <cell r="S1167">
            <v>12</v>
          </cell>
        </row>
        <row r="1168">
          <cell r="M1168" t="str">
            <v>晚餐</v>
          </cell>
        </row>
        <row r="1168">
          <cell r="S1168">
            <v>12</v>
          </cell>
        </row>
        <row r="1169">
          <cell r="M1169" t="str">
            <v>菜钱</v>
          </cell>
        </row>
        <row r="1169">
          <cell r="S1169">
            <v>12.5</v>
          </cell>
        </row>
        <row r="1170">
          <cell r="M1170" t="str">
            <v>菜钱</v>
          </cell>
        </row>
        <row r="1170">
          <cell r="S1170">
            <v>41.2</v>
          </cell>
        </row>
        <row r="1171">
          <cell r="M1171" t="str">
            <v>社交</v>
          </cell>
        </row>
        <row r="1171">
          <cell r="S1171">
            <v>11.59</v>
          </cell>
        </row>
        <row r="1172">
          <cell r="M1172" t="str">
            <v>会员</v>
          </cell>
        </row>
        <row r="1172">
          <cell r="S1172">
            <v>15</v>
          </cell>
        </row>
        <row r="1173">
          <cell r="M1173" t="str">
            <v>晚餐</v>
          </cell>
        </row>
        <row r="1173">
          <cell r="S1173">
            <v>12</v>
          </cell>
        </row>
        <row r="1174">
          <cell r="M1174" t="str">
            <v>日用</v>
          </cell>
        </row>
        <row r="1174">
          <cell r="S1174">
            <v>20.3</v>
          </cell>
        </row>
        <row r="1175">
          <cell r="M1175" t="str">
            <v>电费</v>
          </cell>
        </row>
        <row r="1175">
          <cell r="S1175">
            <v>20</v>
          </cell>
        </row>
        <row r="1176">
          <cell r="M1176" t="str">
            <v>社交</v>
          </cell>
        </row>
        <row r="1176">
          <cell r="S1176">
            <v>13.07</v>
          </cell>
        </row>
        <row r="1177">
          <cell r="M1177" t="str">
            <v>副入</v>
          </cell>
        </row>
        <row r="1177">
          <cell r="S1177">
            <v>-1300</v>
          </cell>
        </row>
        <row r="1178">
          <cell r="M1178" t="str">
            <v>社交</v>
          </cell>
        </row>
        <row r="1178">
          <cell r="S1178">
            <v>27.25</v>
          </cell>
        </row>
        <row r="1179">
          <cell r="M1179" t="str">
            <v>社交</v>
          </cell>
        </row>
        <row r="1179">
          <cell r="S1179">
            <v>19.85</v>
          </cell>
        </row>
        <row r="1180">
          <cell r="M1180" t="str">
            <v>日用</v>
          </cell>
        </row>
        <row r="1180">
          <cell r="S1180">
            <v>240</v>
          </cell>
        </row>
        <row r="1181">
          <cell r="M1181" t="str">
            <v>会员</v>
          </cell>
        </row>
        <row r="1181">
          <cell r="S1181">
            <v>98</v>
          </cell>
        </row>
        <row r="1182">
          <cell r="M1182" t="str">
            <v>菜钱</v>
          </cell>
        </row>
        <row r="1182">
          <cell r="S1182">
            <v>29.77</v>
          </cell>
        </row>
        <row r="1183">
          <cell r="M1183" t="str">
            <v>菜钱</v>
          </cell>
        </row>
        <row r="1183">
          <cell r="S1183">
            <v>29.36</v>
          </cell>
        </row>
        <row r="1184">
          <cell r="M1184" t="str">
            <v>菜钱</v>
          </cell>
        </row>
        <row r="1184">
          <cell r="S1184">
            <v>21.09</v>
          </cell>
        </row>
        <row r="1185">
          <cell r="M1185" t="str">
            <v>电费</v>
          </cell>
        </row>
        <row r="1185">
          <cell r="S1185">
            <v>10</v>
          </cell>
        </row>
        <row r="1186">
          <cell r="M1186" t="str">
            <v>社交</v>
          </cell>
        </row>
        <row r="1186">
          <cell r="S1186">
            <v>26.22</v>
          </cell>
        </row>
        <row r="1187">
          <cell r="M1187" t="str">
            <v>社交</v>
          </cell>
        </row>
        <row r="1187">
          <cell r="S1187">
            <v>22</v>
          </cell>
        </row>
        <row r="1188">
          <cell r="M1188" t="str">
            <v>晚餐</v>
          </cell>
        </row>
        <row r="1188">
          <cell r="S1188">
            <v>12</v>
          </cell>
        </row>
        <row r="1189">
          <cell r="M1189" t="str">
            <v>出行</v>
          </cell>
        </row>
        <row r="1189">
          <cell r="S1189">
            <v>655</v>
          </cell>
        </row>
        <row r="1190">
          <cell r="M1190" t="str">
            <v>出行</v>
          </cell>
        </row>
        <row r="1190">
          <cell r="S1190">
            <v>4.5</v>
          </cell>
        </row>
        <row r="1191">
          <cell r="M1191" t="str">
            <v>晚餐</v>
          </cell>
        </row>
        <row r="1191">
          <cell r="S1191">
            <v>29</v>
          </cell>
        </row>
        <row r="1192">
          <cell r="M1192" t="str">
            <v>出行</v>
          </cell>
        </row>
        <row r="1192">
          <cell r="S1192">
            <v>3.6</v>
          </cell>
        </row>
        <row r="1193">
          <cell r="M1193" t="str">
            <v>菜钱</v>
          </cell>
        </row>
        <row r="1193">
          <cell r="S1193">
            <v>17.96</v>
          </cell>
        </row>
        <row r="1194">
          <cell r="M1194" t="str">
            <v>日用</v>
          </cell>
        </row>
        <row r="1194">
          <cell r="S1194">
            <v>50</v>
          </cell>
        </row>
        <row r="1195">
          <cell r="M1195" t="str">
            <v>晚餐</v>
          </cell>
        </row>
        <row r="1195">
          <cell r="S1195">
            <v>12</v>
          </cell>
        </row>
        <row r="1196">
          <cell r="M1196" t="str">
            <v>出行</v>
          </cell>
        </row>
        <row r="1196">
          <cell r="S1196">
            <v>6.3</v>
          </cell>
        </row>
        <row r="1197">
          <cell r="M1197" t="str">
            <v>出行</v>
          </cell>
        </row>
        <row r="1197">
          <cell r="S1197">
            <v>6.3</v>
          </cell>
        </row>
        <row r="1198">
          <cell r="M1198" t="str">
            <v>菜钱</v>
          </cell>
        </row>
        <row r="1198">
          <cell r="S1198">
            <v>16.24</v>
          </cell>
        </row>
        <row r="1199">
          <cell r="M1199" t="str">
            <v>菜钱</v>
          </cell>
        </row>
        <row r="1199">
          <cell r="S1199">
            <v>1.75</v>
          </cell>
        </row>
        <row r="1200">
          <cell r="M1200" t="str">
            <v>出行</v>
          </cell>
        </row>
        <row r="1200">
          <cell r="S1200">
            <v>60</v>
          </cell>
        </row>
        <row r="1201">
          <cell r="M1201" t="str">
            <v>出行</v>
          </cell>
        </row>
        <row r="1201">
          <cell r="S1201">
            <v>22</v>
          </cell>
        </row>
        <row r="1202">
          <cell r="M1202" t="str">
            <v>社交</v>
          </cell>
        </row>
        <row r="1202">
          <cell r="S1202">
            <v>10.08</v>
          </cell>
        </row>
        <row r="1203">
          <cell r="M1203" t="str">
            <v>出行</v>
          </cell>
        </row>
        <row r="1203">
          <cell r="S1203">
            <v>3.6</v>
          </cell>
        </row>
        <row r="1204">
          <cell r="M1204" t="str">
            <v>早餐</v>
          </cell>
        </row>
        <row r="1204">
          <cell r="S1204">
            <v>9</v>
          </cell>
        </row>
        <row r="1205">
          <cell r="M1205" t="str">
            <v>早餐</v>
          </cell>
        </row>
        <row r="1205">
          <cell r="S1205">
            <v>14</v>
          </cell>
        </row>
        <row r="1206">
          <cell r="M1206" t="str">
            <v>早餐</v>
          </cell>
        </row>
        <row r="1206">
          <cell r="S1206">
            <v>4</v>
          </cell>
        </row>
        <row r="1207">
          <cell r="M1207" t="str">
            <v>早餐</v>
          </cell>
        </row>
        <row r="1207">
          <cell r="S1207">
            <v>10</v>
          </cell>
        </row>
        <row r="1208">
          <cell r="M1208" t="str">
            <v>出行</v>
          </cell>
        </row>
        <row r="1208">
          <cell r="S1208">
            <v>22.1</v>
          </cell>
        </row>
        <row r="1209">
          <cell r="M1209" t="str">
            <v>出行</v>
          </cell>
        </row>
        <row r="1209">
          <cell r="S1209">
            <v>18.45</v>
          </cell>
        </row>
        <row r="1210">
          <cell r="M1210" t="str">
            <v>家医</v>
          </cell>
        </row>
        <row r="1210">
          <cell r="S1210">
            <v>340</v>
          </cell>
        </row>
        <row r="1211">
          <cell r="M1211" t="str">
            <v>家医</v>
          </cell>
        </row>
        <row r="1211">
          <cell r="S1211">
            <v>10</v>
          </cell>
        </row>
        <row r="1212">
          <cell r="M1212" t="str">
            <v>家医</v>
          </cell>
        </row>
        <row r="1212">
          <cell r="S1212">
            <v>27</v>
          </cell>
        </row>
        <row r="1213">
          <cell r="M1213" t="str">
            <v>会员</v>
          </cell>
        </row>
        <row r="1213">
          <cell r="S1213">
            <v>15</v>
          </cell>
        </row>
        <row r="1214">
          <cell r="M1214" t="str">
            <v>日用</v>
          </cell>
        </row>
        <row r="1214">
          <cell r="S1214">
            <v>100</v>
          </cell>
        </row>
        <row r="1215">
          <cell r="M1215" t="str">
            <v>个人借款</v>
          </cell>
        </row>
        <row r="1215">
          <cell r="S1215">
            <v>-10000</v>
          </cell>
        </row>
        <row r="1216">
          <cell r="M1216" t="str">
            <v>个人借款</v>
          </cell>
        </row>
        <row r="1216">
          <cell r="S1216">
            <v>-6000</v>
          </cell>
        </row>
        <row r="1217">
          <cell r="M1217" t="str">
            <v>出行</v>
          </cell>
        </row>
        <row r="1217">
          <cell r="S1217">
            <v>13</v>
          </cell>
        </row>
        <row r="1218">
          <cell r="M1218" t="str">
            <v>房租</v>
          </cell>
        </row>
        <row r="1218">
          <cell r="S1218">
            <v>5000</v>
          </cell>
        </row>
        <row r="1219">
          <cell r="M1219" t="str">
            <v>房租</v>
          </cell>
        </row>
        <row r="1219">
          <cell r="S1219">
            <v>432</v>
          </cell>
        </row>
        <row r="1220">
          <cell r="M1220" t="str">
            <v>课程</v>
          </cell>
        </row>
        <row r="1220">
          <cell r="S1220">
            <v>980</v>
          </cell>
        </row>
        <row r="1221">
          <cell r="M1221" t="str">
            <v>保山</v>
          </cell>
        </row>
        <row r="1221">
          <cell r="S1221">
            <v>39.8</v>
          </cell>
        </row>
        <row r="1222">
          <cell r="M1222" t="str">
            <v>恋爱</v>
          </cell>
        </row>
        <row r="1222">
          <cell r="R1222" t="str">
            <v>礼物</v>
          </cell>
          <cell r="S1222">
            <v>200</v>
          </cell>
        </row>
        <row r="1223">
          <cell r="M1223" t="str">
            <v>会员</v>
          </cell>
        </row>
        <row r="1223">
          <cell r="S1223">
            <v>19</v>
          </cell>
        </row>
        <row r="1224">
          <cell r="M1224" t="str">
            <v>保山</v>
          </cell>
        </row>
        <row r="1224">
          <cell r="S1224">
            <v>31.4</v>
          </cell>
        </row>
        <row r="1225">
          <cell r="M1225" t="str">
            <v>保山</v>
          </cell>
        </row>
        <row r="1225">
          <cell r="S1225">
            <v>25</v>
          </cell>
        </row>
        <row r="1226">
          <cell r="M1226" t="str">
            <v>出行</v>
          </cell>
        </row>
        <row r="1226">
          <cell r="S1226">
            <v>29</v>
          </cell>
        </row>
        <row r="1227">
          <cell r="M1227" t="str">
            <v>小资</v>
          </cell>
        </row>
        <row r="1227">
          <cell r="R1227" t="str">
            <v>电影</v>
          </cell>
          <cell r="S1227">
            <v>78</v>
          </cell>
        </row>
        <row r="1228">
          <cell r="M1228" t="str">
            <v>小资</v>
          </cell>
        </row>
        <row r="1228">
          <cell r="R1228" t="str">
            <v>吃喝</v>
          </cell>
          <cell r="S1228">
            <v>24</v>
          </cell>
        </row>
        <row r="1229">
          <cell r="M1229" t="str">
            <v>小资</v>
          </cell>
        </row>
        <row r="1229">
          <cell r="R1229" t="str">
            <v>吃喝</v>
          </cell>
          <cell r="S1229">
            <v>4</v>
          </cell>
        </row>
        <row r="1230">
          <cell r="M1230" t="str">
            <v>小资</v>
          </cell>
        </row>
        <row r="1230">
          <cell r="R1230" t="str">
            <v>吃喝</v>
          </cell>
          <cell r="S1230">
            <v>20</v>
          </cell>
        </row>
        <row r="1231">
          <cell r="M1231" t="str">
            <v>小资</v>
          </cell>
        </row>
        <row r="1231">
          <cell r="R1231" t="str">
            <v>吃喝</v>
          </cell>
          <cell r="S1231">
            <v>6</v>
          </cell>
        </row>
        <row r="1232">
          <cell r="M1232" t="str">
            <v>小资</v>
          </cell>
        </row>
        <row r="1232">
          <cell r="R1232" t="str">
            <v>吃喝</v>
          </cell>
          <cell r="S1232">
            <v>38</v>
          </cell>
        </row>
        <row r="1233">
          <cell r="M1233" t="str">
            <v>小资</v>
          </cell>
        </row>
        <row r="1233">
          <cell r="R1233" t="str">
            <v>吃喝</v>
          </cell>
          <cell r="S1233">
            <v>3</v>
          </cell>
        </row>
        <row r="1234">
          <cell r="M1234" t="str">
            <v>小资</v>
          </cell>
        </row>
        <row r="1234">
          <cell r="R1234" t="str">
            <v>吃喝</v>
          </cell>
          <cell r="S1234">
            <v>4</v>
          </cell>
        </row>
        <row r="1235">
          <cell r="M1235" t="str">
            <v>小资</v>
          </cell>
        </row>
        <row r="1235">
          <cell r="R1235" t="str">
            <v>吃喝</v>
          </cell>
          <cell r="S1235">
            <v>10</v>
          </cell>
        </row>
        <row r="1236">
          <cell r="M1236" t="str">
            <v>小资</v>
          </cell>
        </row>
        <row r="1236">
          <cell r="R1236" t="str">
            <v>吃喝</v>
          </cell>
          <cell r="S1236">
            <v>30</v>
          </cell>
        </row>
        <row r="1237">
          <cell r="M1237" t="str">
            <v>小资</v>
          </cell>
        </row>
        <row r="1237">
          <cell r="R1237" t="str">
            <v>吃喝</v>
          </cell>
          <cell r="S1237">
            <v>55</v>
          </cell>
        </row>
        <row r="1238">
          <cell r="M1238" t="str">
            <v>小资</v>
          </cell>
        </row>
        <row r="1238">
          <cell r="R1238" t="str">
            <v>吃喝</v>
          </cell>
          <cell r="S1238">
            <v>10</v>
          </cell>
        </row>
        <row r="1239">
          <cell r="M1239" t="str">
            <v>小资</v>
          </cell>
        </row>
        <row r="1239">
          <cell r="R1239" t="str">
            <v>吃喝</v>
          </cell>
          <cell r="S1239">
            <v>5.5</v>
          </cell>
        </row>
        <row r="1240">
          <cell r="M1240" t="str">
            <v>家医</v>
          </cell>
        </row>
        <row r="1240">
          <cell r="S1240">
            <v>29.7</v>
          </cell>
        </row>
        <row r="1241">
          <cell r="M1241" t="str">
            <v>保山</v>
          </cell>
        </row>
        <row r="1241">
          <cell r="S1241">
            <v>8</v>
          </cell>
        </row>
        <row r="1242">
          <cell r="M1242" t="str">
            <v>家医</v>
          </cell>
        </row>
        <row r="1242">
          <cell r="S1242">
            <v>81</v>
          </cell>
        </row>
        <row r="1243">
          <cell r="M1243" t="str">
            <v>家医</v>
          </cell>
        </row>
        <row r="1243">
          <cell r="S1243">
            <v>23</v>
          </cell>
        </row>
        <row r="1244">
          <cell r="M1244" t="str">
            <v>家医</v>
          </cell>
        </row>
        <row r="1244">
          <cell r="S1244">
            <v>20.08</v>
          </cell>
        </row>
        <row r="1245">
          <cell r="M1245" t="str">
            <v>家医</v>
          </cell>
        </row>
        <row r="1245">
          <cell r="S1245">
            <v>30.4</v>
          </cell>
        </row>
        <row r="1246">
          <cell r="M1246" t="str">
            <v>家医</v>
          </cell>
        </row>
        <row r="1246">
          <cell r="S1246">
            <v>20.39</v>
          </cell>
        </row>
        <row r="1247">
          <cell r="M1247" t="str">
            <v>家医</v>
          </cell>
        </row>
        <row r="1247">
          <cell r="S1247">
            <v>10</v>
          </cell>
        </row>
        <row r="1248">
          <cell r="M1248" t="str">
            <v>家医</v>
          </cell>
        </row>
        <row r="1248">
          <cell r="S1248">
            <v>50</v>
          </cell>
        </row>
        <row r="1249">
          <cell r="M1249" t="str">
            <v>家医</v>
          </cell>
        </row>
        <row r="1249">
          <cell r="S1249">
            <v>11</v>
          </cell>
        </row>
        <row r="1250">
          <cell r="M1250" t="str">
            <v>家医</v>
          </cell>
        </row>
        <row r="1250">
          <cell r="S1250">
            <v>8</v>
          </cell>
        </row>
        <row r="1251">
          <cell r="M1251" t="str">
            <v>家医</v>
          </cell>
        </row>
        <row r="1251">
          <cell r="S1251">
            <v>23</v>
          </cell>
        </row>
        <row r="1252">
          <cell r="M1252" t="str">
            <v>家医</v>
          </cell>
        </row>
        <row r="1252">
          <cell r="S1252">
            <v>20.74</v>
          </cell>
        </row>
        <row r="1253">
          <cell r="M1253" t="str">
            <v>家医</v>
          </cell>
        </row>
        <row r="1253">
          <cell r="S1253">
            <v>11.93</v>
          </cell>
        </row>
        <row r="1254">
          <cell r="M1254" t="str">
            <v>恋爱</v>
          </cell>
        </row>
        <row r="1254">
          <cell r="R1254" t="str">
            <v>礼物</v>
          </cell>
          <cell r="S1254">
            <v>43.8</v>
          </cell>
        </row>
        <row r="1255">
          <cell r="M1255" t="str">
            <v>会员</v>
          </cell>
        </row>
        <row r="1255">
          <cell r="S1255">
            <v>15</v>
          </cell>
        </row>
        <row r="1256">
          <cell r="M1256" t="str">
            <v>家医</v>
          </cell>
        </row>
        <row r="1256">
          <cell r="S1256">
            <v>28</v>
          </cell>
        </row>
        <row r="1257">
          <cell r="M1257" t="str">
            <v>家医</v>
          </cell>
        </row>
        <row r="1257">
          <cell r="S1257">
            <v>19.8</v>
          </cell>
        </row>
        <row r="1258">
          <cell r="M1258" t="str">
            <v>话费</v>
          </cell>
        </row>
        <row r="1258">
          <cell r="S1258">
            <v>50</v>
          </cell>
        </row>
        <row r="1259">
          <cell r="M1259" t="str">
            <v>日用</v>
          </cell>
        </row>
        <row r="1259">
          <cell r="S1259">
            <v>100</v>
          </cell>
        </row>
        <row r="1260">
          <cell r="M1260" t="str">
            <v>恋爱</v>
          </cell>
        </row>
        <row r="1260">
          <cell r="R1260" t="str">
            <v>礼物</v>
          </cell>
          <cell r="S1260">
            <v>10</v>
          </cell>
        </row>
        <row r="1261">
          <cell r="M1261" t="str">
            <v>恋爱</v>
          </cell>
        </row>
        <row r="1261">
          <cell r="R1261" t="str">
            <v>礼物</v>
          </cell>
          <cell r="S1261">
            <v>16.9</v>
          </cell>
        </row>
        <row r="1262">
          <cell r="M1262" t="str">
            <v>会员</v>
          </cell>
        </row>
        <row r="1262">
          <cell r="S1262">
            <v>15</v>
          </cell>
        </row>
        <row r="1263">
          <cell r="M1263" t="str">
            <v>家医</v>
          </cell>
        </row>
        <row r="1263">
          <cell r="S1263">
            <v>11.81</v>
          </cell>
        </row>
        <row r="1264">
          <cell r="M1264" t="str">
            <v>恋爱</v>
          </cell>
        </row>
        <row r="1264">
          <cell r="R1264" t="str">
            <v>礼物</v>
          </cell>
          <cell r="S1264">
            <v>30</v>
          </cell>
        </row>
        <row r="1265">
          <cell r="M1265" t="str">
            <v>家医</v>
          </cell>
        </row>
        <row r="1265">
          <cell r="S1265">
            <v>20</v>
          </cell>
        </row>
        <row r="1266">
          <cell r="M1266" t="str">
            <v>家医</v>
          </cell>
        </row>
        <row r="1266">
          <cell r="S1266">
            <v>24</v>
          </cell>
        </row>
        <row r="1267">
          <cell r="M1267" t="str">
            <v>家医</v>
          </cell>
        </row>
        <row r="1267">
          <cell r="S1267">
            <v>4</v>
          </cell>
        </row>
        <row r="1268">
          <cell r="M1268" t="str">
            <v>家医</v>
          </cell>
        </row>
        <row r="1268">
          <cell r="S1268">
            <v>11.23</v>
          </cell>
        </row>
        <row r="1269">
          <cell r="M1269" t="str">
            <v>家医</v>
          </cell>
        </row>
        <row r="1269">
          <cell r="S1269">
            <v>486</v>
          </cell>
        </row>
        <row r="1270">
          <cell r="M1270" t="str">
            <v>家医</v>
          </cell>
        </row>
        <row r="1270">
          <cell r="S1270">
            <v>22</v>
          </cell>
        </row>
        <row r="1271">
          <cell r="M1271" t="str">
            <v>家医</v>
          </cell>
        </row>
        <row r="1271">
          <cell r="S1271">
            <v>18.09</v>
          </cell>
        </row>
        <row r="1272">
          <cell r="M1272" t="str">
            <v>恋爱</v>
          </cell>
        </row>
        <row r="1272">
          <cell r="R1272" t="str">
            <v>礼物</v>
          </cell>
          <cell r="S1272">
            <v>10</v>
          </cell>
        </row>
        <row r="1273">
          <cell r="M1273" t="str">
            <v>个人借款</v>
          </cell>
        </row>
        <row r="1273">
          <cell r="S1273">
            <v>-10000</v>
          </cell>
        </row>
        <row r="1274">
          <cell r="M1274" t="str">
            <v>恋爱</v>
          </cell>
        </row>
        <row r="1274">
          <cell r="R1274" t="str">
            <v>礼物</v>
          </cell>
          <cell r="S1274">
            <v>10</v>
          </cell>
        </row>
        <row r="1275">
          <cell r="M1275" t="str">
            <v>恋爱</v>
          </cell>
        </row>
        <row r="1275">
          <cell r="R1275" t="str">
            <v>礼物</v>
          </cell>
          <cell r="S1275">
            <v>10</v>
          </cell>
        </row>
        <row r="1276">
          <cell r="M1276" t="str">
            <v>恋爱</v>
          </cell>
        </row>
        <row r="1276">
          <cell r="R1276" t="str">
            <v>礼物</v>
          </cell>
          <cell r="S1276">
            <v>10</v>
          </cell>
        </row>
        <row r="1277">
          <cell r="M1277" t="str">
            <v>家医</v>
          </cell>
        </row>
        <row r="1277">
          <cell r="S1277">
            <v>20</v>
          </cell>
        </row>
        <row r="1278">
          <cell r="M1278" t="str">
            <v>家医</v>
          </cell>
        </row>
        <row r="1278">
          <cell r="S1278">
            <v>15.44</v>
          </cell>
        </row>
        <row r="1279">
          <cell r="M1279" t="str">
            <v>恋爱</v>
          </cell>
        </row>
        <row r="1279">
          <cell r="R1279" t="str">
            <v>礼物</v>
          </cell>
          <cell r="S1279">
            <v>10</v>
          </cell>
        </row>
        <row r="1280">
          <cell r="M1280" t="str">
            <v>话费</v>
          </cell>
        </row>
        <row r="1280">
          <cell r="S1280">
            <v>100</v>
          </cell>
        </row>
        <row r="1281">
          <cell r="M1281" t="str">
            <v>恋爱</v>
          </cell>
        </row>
        <row r="1281">
          <cell r="R1281" t="str">
            <v>礼物</v>
          </cell>
          <cell r="S1281">
            <v>226</v>
          </cell>
        </row>
        <row r="1282">
          <cell r="M1282" t="str">
            <v>家医</v>
          </cell>
        </row>
        <row r="1282">
          <cell r="S1282">
            <v>15.9</v>
          </cell>
        </row>
        <row r="1283">
          <cell r="M1283" t="str">
            <v>出行</v>
          </cell>
        </row>
        <row r="1283">
          <cell r="S1283">
            <v>15.33</v>
          </cell>
        </row>
        <row r="1284">
          <cell r="M1284" t="str">
            <v>保山</v>
          </cell>
        </row>
        <row r="1284">
          <cell r="S1284">
            <v>8</v>
          </cell>
        </row>
        <row r="1285">
          <cell r="M1285" t="str">
            <v>出行</v>
          </cell>
        </row>
        <row r="1285">
          <cell r="S1285">
            <v>47.15</v>
          </cell>
        </row>
        <row r="1286">
          <cell r="M1286" t="str">
            <v>出行</v>
          </cell>
        </row>
        <row r="1286">
          <cell r="S1286">
            <v>69.9</v>
          </cell>
        </row>
        <row r="1287">
          <cell r="M1287" t="str">
            <v>副入</v>
          </cell>
        </row>
        <row r="1287">
          <cell r="S1287">
            <v>-1500</v>
          </cell>
        </row>
        <row r="1288">
          <cell r="M1288" t="str">
            <v>恋爱</v>
          </cell>
        </row>
        <row r="1288">
          <cell r="R1288" t="str">
            <v>城际</v>
          </cell>
          <cell r="S1288">
            <v>989</v>
          </cell>
        </row>
        <row r="1289">
          <cell r="M1289" t="str">
            <v>出行</v>
          </cell>
        </row>
        <row r="1289">
          <cell r="S1289">
            <v>470</v>
          </cell>
        </row>
        <row r="1290">
          <cell r="M1290" t="str">
            <v>恋爱</v>
          </cell>
        </row>
        <row r="1290">
          <cell r="R1290" t="str">
            <v>礼物</v>
          </cell>
          <cell r="S1290">
            <v>-520</v>
          </cell>
        </row>
        <row r="1291">
          <cell r="M1291" t="str">
            <v>出行</v>
          </cell>
        </row>
        <row r="1291">
          <cell r="S1291">
            <v>54</v>
          </cell>
        </row>
        <row r="1292">
          <cell r="M1292" t="str">
            <v>出行</v>
          </cell>
        </row>
        <row r="1292">
          <cell r="S1292">
            <v>18.5</v>
          </cell>
        </row>
        <row r="1293">
          <cell r="M1293" t="str">
            <v>出行</v>
          </cell>
        </row>
        <row r="1293">
          <cell r="S1293">
            <v>15.2</v>
          </cell>
        </row>
        <row r="1294">
          <cell r="M1294" t="str">
            <v>早餐</v>
          </cell>
        </row>
        <row r="1294">
          <cell r="S1294">
            <v>14</v>
          </cell>
        </row>
        <row r="1295">
          <cell r="M1295" t="str">
            <v>早餐</v>
          </cell>
        </row>
        <row r="1295">
          <cell r="S1295">
            <v>6</v>
          </cell>
        </row>
        <row r="1296">
          <cell r="M1296" t="str">
            <v>早餐</v>
          </cell>
        </row>
        <row r="1296">
          <cell r="S1296">
            <v>20</v>
          </cell>
        </row>
        <row r="1297">
          <cell r="M1297" t="str">
            <v>早餐</v>
          </cell>
        </row>
        <row r="1297">
          <cell r="S1297">
            <v>10</v>
          </cell>
        </row>
        <row r="1298">
          <cell r="M1298" t="str">
            <v>早餐</v>
          </cell>
        </row>
        <row r="1298">
          <cell r="S1298">
            <v>5</v>
          </cell>
        </row>
        <row r="1299">
          <cell r="M1299" t="str">
            <v>早餐</v>
          </cell>
        </row>
        <row r="1299">
          <cell r="S1299">
            <v>10</v>
          </cell>
        </row>
        <row r="1300">
          <cell r="M1300" t="str">
            <v>早餐</v>
          </cell>
        </row>
        <row r="1300">
          <cell r="S1300">
            <v>12.5</v>
          </cell>
        </row>
        <row r="1301">
          <cell r="M1301" t="str">
            <v>保山</v>
          </cell>
        </row>
        <row r="1301">
          <cell r="S1301">
            <v>45.2</v>
          </cell>
        </row>
        <row r="1302">
          <cell r="M1302" t="str">
            <v>保山</v>
          </cell>
        </row>
        <row r="1302">
          <cell r="S1302">
            <v>44.5</v>
          </cell>
        </row>
        <row r="1303">
          <cell r="M1303" t="str">
            <v>恋爱</v>
          </cell>
        </row>
        <row r="1303">
          <cell r="R1303" t="str">
            <v>礼物</v>
          </cell>
          <cell r="S1303">
            <v>10</v>
          </cell>
        </row>
        <row r="1304">
          <cell r="M1304" t="str">
            <v>保山</v>
          </cell>
        </row>
        <row r="1304">
          <cell r="S1304">
            <v>23</v>
          </cell>
        </row>
        <row r="1305">
          <cell r="M1305" t="str">
            <v>会员</v>
          </cell>
        </row>
        <row r="1305">
          <cell r="S1305">
            <v>1</v>
          </cell>
        </row>
        <row r="1306">
          <cell r="M1306" t="str">
            <v>出行</v>
          </cell>
        </row>
        <row r="1306">
          <cell r="S1306">
            <v>15.25</v>
          </cell>
        </row>
        <row r="1307">
          <cell r="M1307" t="str">
            <v>出行</v>
          </cell>
        </row>
        <row r="1307">
          <cell r="S1307">
            <v>32.7</v>
          </cell>
        </row>
        <row r="1308">
          <cell r="M1308" t="str">
            <v>出行</v>
          </cell>
        </row>
        <row r="1308">
          <cell r="S1308">
            <v>23.6</v>
          </cell>
        </row>
        <row r="1309">
          <cell r="M1309" t="str">
            <v>恋爱</v>
          </cell>
        </row>
        <row r="1309">
          <cell r="R1309" t="str">
            <v>城际</v>
          </cell>
          <cell r="S1309">
            <v>10</v>
          </cell>
        </row>
        <row r="1310">
          <cell r="M1310" t="str">
            <v>恋爱</v>
          </cell>
        </row>
        <row r="1310">
          <cell r="R1310" t="str">
            <v>城际</v>
          </cell>
          <cell r="S1310">
            <v>10</v>
          </cell>
        </row>
        <row r="1311">
          <cell r="M1311" t="str">
            <v>恋爱</v>
          </cell>
        </row>
        <row r="1311">
          <cell r="R1311" t="str">
            <v>吃喝</v>
          </cell>
          <cell r="S1311">
            <v>13</v>
          </cell>
        </row>
        <row r="1312">
          <cell r="M1312" t="str">
            <v>恋爱</v>
          </cell>
        </row>
        <row r="1312">
          <cell r="R1312" t="str">
            <v>吃喝</v>
          </cell>
          <cell r="S1312">
            <v>34.01</v>
          </cell>
        </row>
        <row r="1313">
          <cell r="M1313" t="str">
            <v>恋爱</v>
          </cell>
        </row>
        <row r="1313">
          <cell r="R1313" t="str">
            <v>吃喝</v>
          </cell>
          <cell r="S1313">
            <v>10</v>
          </cell>
        </row>
        <row r="1314">
          <cell r="M1314" t="str">
            <v>恋爱</v>
          </cell>
        </row>
        <row r="1314">
          <cell r="R1314" t="str">
            <v>城内</v>
          </cell>
          <cell r="S1314">
            <v>51.45</v>
          </cell>
        </row>
        <row r="1315">
          <cell r="M1315" t="str">
            <v>恋爱</v>
          </cell>
        </row>
        <row r="1315">
          <cell r="R1315" t="str">
            <v>吃喝</v>
          </cell>
          <cell r="S1315">
            <v>20</v>
          </cell>
        </row>
        <row r="1316">
          <cell r="M1316" t="str">
            <v>恋爱</v>
          </cell>
        </row>
        <row r="1316">
          <cell r="R1316" t="str">
            <v>吃喝</v>
          </cell>
          <cell r="S1316">
            <v>50</v>
          </cell>
        </row>
        <row r="1317">
          <cell r="M1317" t="str">
            <v>日用</v>
          </cell>
        </row>
        <row r="1317">
          <cell r="R1317" t="str">
            <v>衣服</v>
          </cell>
          <cell r="S1317">
            <v>314</v>
          </cell>
        </row>
        <row r="1318">
          <cell r="M1318" t="str">
            <v>恋爱</v>
          </cell>
        </row>
        <row r="1318">
          <cell r="R1318" t="str">
            <v>吃喝</v>
          </cell>
          <cell r="S1318">
            <v>136</v>
          </cell>
        </row>
        <row r="1319">
          <cell r="M1319" t="str">
            <v>恋爱</v>
          </cell>
        </row>
        <row r="1319">
          <cell r="R1319" t="str">
            <v>吃喝</v>
          </cell>
          <cell r="S1319">
            <v>58</v>
          </cell>
        </row>
        <row r="1320">
          <cell r="M1320" t="str">
            <v>会员</v>
          </cell>
        </row>
        <row r="1320">
          <cell r="S1320">
            <v>15</v>
          </cell>
        </row>
        <row r="1321">
          <cell r="M1321" t="str">
            <v>恋爱</v>
          </cell>
        </row>
        <row r="1321">
          <cell r="R1321" t="str">
            <v>城内</v>
          </cell>
          <cell r="S1321">
            <v>2</v>
          </cell>
        </row>
        <row r="1322">
          <cell r="M1322" t="str">
            <v>日用</v>
          </cell>
        </row>
        <row r="1322">
          <cell r="R1322" t="str">
            <v>理发</v>
          </cell>
          <cell r="S1322">
            <v>47</v>
          </cell>
        </row>
        <row r="1323">
          <cell r="M1323" t="str">
            <v>恋爱</v>
          </cell>
        </row>
        <row r="1323">
          <cell r="R1323" t="str">
            <v>吃喝</v>
          </cell>
          <cell r="S1323">
            <v>40</v>
          </cell>
        </row>
        <row r="1324">
          <cell r="M1324" t="str">
            <v>恋爱</v>
          </cell>
        </row>
        <row r="1324">
          <cell r="R1324" t="str">
            <v>吃喝</v>
          </cell>
          <cell r="S1324">
            <v>35</v>
          </cell>
        </row>
        <row r="1325">
          <cell r="M1325" t="str">
            <v>恋爱</v>
          </cell>
        </row>
        <row r="1325">
          <cell r="R1325" t="str">
            <v>吃喝</v>
          </cell>
          <cell r="S1325">
            <v>33</v>
          </cell>
        </row>
        <row r="1326">
          <cell r="M1326" t="str">
            <v>恋爱</v>
          </cell>
        </row>
        <row r="1326">
          <cell r="R1326" t="str">
            <v>吃喝</v>
          </cell>
          <cell r="S1326">
            <v>20</v>
          </cell>
        </row>
        <row r="1327">
          <cell r="M1327" t="str">
            <v>恋爱</v>
          </cell>
        </row>
        <row r="1327">
          <cell r="R1327" t="str">
            <v>吃喝</v>
          </cell>
          <cell r="S1327">
            <v>5</v>
          </cell>
        </row>
        <row r="1328">
          <cell r="M1328" t="str">
            <v>恋爱</v>
          </cell>
        </row>
        <row r="1328">
          <cell r="R1328" t="str">
            <v>吃喝</v>
          </cell>
          <cell r="S1328">
            <v>10</v>
          </cell>
        </row>
        <row r="1329">
          <cell r="M1329" t="str">
            <v>恋爱</v>
          </cell>
        </row>
        <row r="1329">
          <cell r="R1329" t="str">
            <v>吃喝</v>
          </cell>
          <cell r="S1329">
            <v>49</v>
          </cell>
        </row>
        <row r="1330">
          <cell r="M1330" t="str">
            <v>恋爱</v>
          </cell>
        </row>
        <row r="1330">
          <cell r="R1330" t="str">
            <v>吃喝</v>
          </cell>
          <cell r="S1330">
            <v>98</v>
          </cell>
        </row>
        <row r="1331">
          <cell r="M1331" t="str">
            <v>日用</v>
          </cell>
        </row>
        <row r="1331">
          <cell r="S1331">
            <v>20</v>
          </cell>
        </row>
        <row r="1332">
          <cell r="M1332" t="str">
            <v>电费</v>
          </cell>
        </row>
        <row r="1332">
          <cell r="S1332">
            <v>50</v>
          </cell>
        </row>
        <row r="1333">
          <cell r="M1333" t="str">
            <v>晚餐</v>
          </cell>
        </row>
        <row r="1333">
          <cell r="S1333">
            <v>12</v>
          </cell>
        </row>
        <row r="1334">
          <cell r="M1334" t="str">
            <v>晚餐</v>
          </cell>
        </row>
        <row r="1334">
          <cell r="S1334">
            <v>14</v>
          </cell>
        </row>
        <row r="1335">
          <cell r="M1335" t="str">
            <v>菜钱</v>
          </cell>
        </row>
        <row r="1335">
          <cell r="S1335">
            <v>37.48</v>
          </cell>
        </row>
        <row r="1336">
          <cell r="M1336" t="str">
            <v>菜钱</v>
          </cell>
        </row>
        <row r="1336">
          <cell r="S1336">
            <v>21.34</v>
          </cell>
        </row>
        <row r="1337">
          <cell r="M1337" t="str">
            <v>菜钱</v>
          </cell>
        </row>
        <row r="1337">
          <cell r="S1337">
            <v>16.61</v>
          </cell>
        </row>
        <row r="1338">
          <cell r="M1338" t="str">
            <v>小资</v>
          </cell>
        </row>
        <row r="1338">
          <cell r="R1338" t="str">
            <v>鲜花</v>
          </cell>
          <cell r="S1338">
            <v>9.9</v>
          </cell>
        </row>
        <row r="1339">
          <cell r="M1339" t="str">
            <v>出行</v>
          </cell>
        </row>
        <row r="1339">
          <cell r="S1339">
            <v>6.3</v>
          </cell>
        </row>
        <row r="1340">
          <cell r="M1340" t="str">
            <v>社交</v>
          </cell>
        </row>
        <row r="1340">
          <cell r="S1340">
            <v>58</v>
          </cell>
        </row>
        <row r="1341">
          <cell r="M1341" t="str">
            <v>出行</v>
          </cell>
        </row>
        <row r="1341">
          <cell r="S1341">
            <v>4.5</v>
          </cell>
        </row>
        <row r="1342">
          <cell r="M1342" t="str">
            <v>晚餐</v>
          </cell>
        </row>
        <row r="1342">
          <cell r="S1342">
            <v>11</v>
          </cell>
        </row>
        <row r="1343">
          <cell r="M1343" t="str">
            <v>晚餐</v>
          </cell>
        </row>
        <row r="1343">
          <cell r="S1343">
            <v>10</v>
          </cell>
        </row>
        <row r="1344">
          <cell r="M1344" t="str">
            <v>出行</v>
          </cell>
        </row>
        <row r="1344">
          <cell r="S1344">
            <v>4.5</v>
          </cell>
        </row>
        <row r="1345">
          <cell r="M1345" t="str">
            <v>菜钱</v>
          </cell>
        </row>
        <row r="1345">
          <cell r="S1345">
            <v>9.07</v>
          </cell>
        </row>
        <row r="1346">
          <cell r="M1346" t="str">
            <v>水费</v>
          </cell>
        </row>
        <row r="1346">
          <cell r="S1346">
            <v>20</v>
          </cell>
        </row>
        <row r="1347">
          <cell r="M1347" t="str">
            <v>菜钱</v>
          </cell>
        </row>
        <row r="1347">
          <cell r="S1347">
            <v>8.64</v>
          </cell>
        </row>
        <row r="1348">
          <cell r="M1348" t="str">
            <v>菜钱</v>
          </cell>
        </row>
        <row r="1348">
          <cell r="S1348">
            <v>13.76</v>
          </cell>
        </row>
        <row r="1349">
          <cell r="M1349" t="str">
            <v>菜钱</v>
          </cell>
        </row>
        <row r="1349">
          <cell r="S1349">
            <v>34.49</v>
          </cell>
        </row>
        <row r="1350">
          <cell r="M1350" t="str">
            <v>菜钱</v>
          </cell>
        </row>
        <row r="1350">
          <cell r="S1350">
            <v>18.03</v>
          </cell>
        </row>
        <row r="1351">
          <cell r="M1351" t="str">
            <v>菜钱</v>
          </cell>
        </row>
        <row r="1351">
          <cell r="S1351">
            <v>18.5</v>
          </cell>
        </row>
        <row r="1352">
          <cell r="M1352" t="str">
            <v>副投</v>
          </cell>
        </row>
        <row r="1352">
          <cell r="S1352">
            <v>500.5</v>
          </cell>
        </row>
        <row r="1353">
          <cell r="M1353" t="str">
            <v>话费</v>
          </cell>
        </row>
        <row r="1353">
          <cell r="S1353">
            <v>100</v>
          </cell>
        </row>
        <row r="1354">
          <cell r="M1354" t="str">
            <v>菜钱</v>
          </cell>
        </row>
        <row r="1354">
          <cell r="S1354">
            <v>4.09</v>
          </cell>
        </row>
        <row r="1355">
          <cell r="M1355" t="str">
            <v>菜钱</v>
          </cell>
        </row>
        <row r="1355">
          <cell r="S1355">
            <v>12.55</v>
          </cell>
        </row>
        <row r="1356">
          <cell r="M1356" t="str">
            <v>菜钱</v>
          </cell>
        </row>
        <row r="1356">
          <cell r="S1356">
            <v>3.06</v>
          </cell>
        </row>
        <row r="1357">
          <cell r="M1357" t="str">
            <v>保山</v>
          </cell>
        </row>
        <row r="1357">
          <cell r="S1357">
            <v>11.5</v>
          </cell>
        </row>
        <row r="1358">
          <cell r="M1358" t="str">
            <v>菜钱</v>
          </cell>
        </row>
        <row r="1358">
          <cell r="S1358">
            <v>1.85</v>
          </cell>
        </row>
        <row r="1359">
          <cell r="M1359" t="str">
            <v>话费</v>
          </cell>
        </row>
        <row r="1359">
          <cell r="S1359">
            <v>100</v>
          </cell>
        </row>
        <row r="1360">
          <cell r="M1360" t="str">
            <v>晚餐</v>
          </cell>
        </row>
        <row r="1360">
          <cell r="S1360">
            <v>12</v>
          </cell>
        </row>
        <row r="1361">
          <cell r="M1361" t="str">
            <v>话费</v>
          </cell>
        </row>
        <row r="1361">
          <cell r="S1361">
            <v>50</v>
          </cell>
        </row>
        <row r="1362">
          <cell r="M1362" t="str">
            <v>出行</v>
          </cell>
        </row>
        <row r="1362">
          <cell r="S1362">
            <v>3.6</v>
          </cell>
        </row>
        <row r="1363">
          <cell r="M1363" t="str">
            <v>社交</v>
          </cell>
        </row>
        <row r="1363">
          <cell r="S1363">
            <v>20</v>
          </cell>
        </row>
        <row r="1364">
          <cell r="M1364" t="str">
            <v>出行</v>
          </cell>
        </row>
        <row r="1364">
          <cell r="S1364">
            <v>2.7</v>
          </cell>
        </row>
        <row r="1365">
          <cell r="M1365" t="str">
            <v>晚餐</v>
          </cell>
        </row>
        <row r="1365">
          <cell r="S1365">
            <v>4</v>
          </cell>
        </row>
        <row r="1366">
          <cell r="M1366" t="str">
            <v>晚餐</v>
          </cell>
        </row>
        <row r="1366">
          <cell r="S1366">
            <v>2</v>
          </cell>
        </row>
        <row r="1367">
          <cell r="M1367" t="str">
            <v>晚餐</v>
          </cell>
        </row>
        <row r="1367">
          <cell r="S1367">
            <v>16</v>
          </cell>
        </row>
        <row r="1368">
          <cell r="M1368" t="str">
            <v>出行</v>
          </cell>
        </row>
        <row r="1368">
          <cell r="S1368">
            <v>2.7</v>
          </cell>
        </row>
        <row r="1369">
          <cell r="M1369" t="str">
            <v>会员</v>
          </cell>
        </row>
        <row r="1369">
          <cell r="S1369">
            <v>19</v>
          </cell>
        </row>
        <row r="1370">
          <cell r="M1370" t="str">
            <v>晚餐</v>
          </cell>
        </row>
        <row r="1370">
          <cell r="S1370">
            <v>12</v>
          </cell>
        </row>
        <row r="1371">
          <cell r="M1371" t="str">
            <v>出行</v>
          </cell>
        </row>
        <row r="1371">
          <cell r="S1371">
            <v>420</v>
          </cell>
        </row>
        <row r="1372">
          <cell r="M1372" t="str">
            <v>出行</v>
          </cell>
        </row>
        <row r="1372">
          <cell r="S1372">
            <v>370</v>
          </cell>
        </row>
        <row r="1373">
          <cell r="M1373" t="str">
            <v>晚餐</v>
          </cell>
        </row>
        <row r="1373">
          <cell r="S1373">
            <v>12</v>
          </cell>
        </row>
        <row r="1374">
          <cell r="M1374" t="str">
            <v>电费</v>
          </cell>
        </row>
        <row r="1374">
          <cell r="S1374">
            <v>30</v>
          </cell>
        </row>
        <row r="1375">
          <cell r="M1375" t="str">
            <v>菜钱</v>
          </cell>
        </row>
        <row r="1375">
          <cell r="S1375">
            <v>11.24</v>
          </cell>
        </row>
        <row r="1376">
          <cell r="M1376" t="str">
            <v>菜钱</v>
          </cell>
        </row>
        <row r="1376">
          <cell r="S1376">
            <v>8.45</v>
          </cell>
        </row>
        <row r="1377">
          <cell r="M1377" t="str">
            <v>小资</v>
          </cell>
        </row>
        <row r="1377">
          <cell r="R1377" t="str">
            <v>吃喝</v>
          </cell>
          <cell r="S1377">
            <v>10</v>
          </cell>
        </row>
        <row r="1378">
          <cell r="M1378" t="str">
            <v>菜钱</v>
          </cell>
        </row>
        <row r="1378">
          <cell r="S1378">
            <v>24.12</v>
          </cell>
        </row>
        <row r="1379">
          <cell r="M1379" t="str">
            <v>菜钱</v>
          </cell>
        </row>
        <row r="1379">
          <cell r="S1379">
            <v>87.61</v>
          </cell>
        </row>
        <row r="1380">
          <cell r="M1380" t="str">
            <v>课程</v>
          </cell>
        </row>
        <row r="1380">
          <cell r="S1380">
            <v>5</v>
          </cell>
        </row>
        <row r="1381">
          <cell r="M1381" t="str">
            <v>晚餐</v>
          </cell>
        </row>
        <row r="1381">
          <cell r="S1381">
            <v>12</v>
          </cell>
        </row>
        <row r="1382">
          <cell r="M1382" t="str">
            <v>出行</v>
          </cell>
        </row>
        <row r="1382">
          <cell r="S1382">
            <v>88.92</v>
          </cell>
        </row>
        <row r="1383">
          <cell r="M1383" t="str">
            <v>晚餐</v>
          </cell>
        </row>
        <row r="1383">
          <cell r="S1383">
            <v>14</v>
          </cell>
        </row>
        <row r="1384">
          <cell r="M1384" t="str">
            <v>小资</v>
          </cell>
        </row>
        <row r="1384">
          <cell r="R1384" t="str">
            <v>吃喝</v>
          </cell>
          <cell r="S1384">
            <v>10</v>
          </cell>
        </row>
        <row r="1385">
          <cell r="M1385" t="str">
            <v>出行</v>
          </cell>
        </row>
        <row r="1385">
          <cell r="S1385">
            <v>62.92</v>
          </cell>
        </row>
        <row r="1386">
          <cell r="M1386" t="str">
            <v>晚餐</v>
          </cell>
        </row>
        <row r="1386">
          <cell r="S1386">
            <v>4</v>
          </cell>
        </row>
        <row r="1387">
          <cell r="M1387" t="str">
            <v>出行</v>
          </cell>
        </row>
        <row r="1387">
          <cell r="S1387">
            <v>34</v>
          </cell>
        </row>
        <row r="1388">
          <cell r="M1388" t="str">
            <v>会员</v>
          </cell>
        </row>
        <row r="1388">
          <cell r="S1388">
            <v>15</v>
          </cell>
        </row>
        <row r="1389">
          <cell r="M1389" t="str">
            <v>出行</v>
          </cell>
        </row>
        <row r="1389">
          <cell r="S1389">
            <v>7</v>
          </cell>
        </row>
        <row r="1390">
          <cell r="M1390" t="str">
            <v>晚餐</v>
          </cell>
        </row>
        <row r="1390">
          <cell r="S1390">
            <v>6</v>
          </cell>
        </row>
        <row r="1391">
          <cell r="M1391" t="str">
            <v>出行</v>
          </cell>
        </row>
        <row r="1391">
          <cell r="S1391">
            <v>34.38</v>
          </cell>
        </row>
        <row r="1392">
          <cell r="M1392" t="str">
            <v>出行</v>
          </cell>
        </row>
        <row r="1392">
          <cell r="S1392">
            <v>34</v>
          </cell>
        </row>
        <row r="1393">
          <cell r="M1393" t="str">
            <v>游戏</v>
          </cell>
        </row>
        <row r="1393">
          <cell r="S1393">
            <v>6</v>
          </cell>
        </row>
        <row r="1394">
          <cell r="M1394" t="str">
            <v>出行</v>
          </cell>
        </row>
        <row r="1394">
          <cell r="S1394">
            <v>6</v>
          </cell>
        </row>
        <row r="1395">
          <cell r="M1395" t="str">
            <v>晚餐</v>
          </cell>
        </row>
        <row r="1395">
          <cell r="S1395">
            <v>15</v>
          </cell>
        </row>
        <row r="1396">
          <cell r="M1396" t="str">
            <v>住宿</v>
          </cell>
        </row>
        <row r="1396">
          <cell r="S1396">
            <v>103</v>
          </cell>
        </row>
        <row r="1397">
          <cell r="M1397" t="str">
            <v>会员</v>
          </cell>
        </row>
        <row r="1397">
          <cell r="S1397">
            <v>15</v>
          </cell>
        </row>
        <row r="1398">
          <cell r="M1398" t="str">
            <v>出行</v>
          </cell>
        </row>
        <row r="1398">
          <cell r="S1398">
            <v>6</v>
          </cell>
        </row>
        <row r="1399">
          <cell r="M1399" t="str">
            <v>出行</v>
          </cell>
        </row>
        <row r="1399">
          <cell r="S1399">
            <v>9.9</v>
          </cell>
        </row>
        <row r="1400">
          <cell r="M1400" t="str">
            <v>出行</v>
          </cell>
        </row>
        <row r="1400">
          <cell r="S1400">
            <v>1.8</v>
          </cell>
        </row>
        <row r="1401">
          <cell r="M1401" t="str">
            <v>晚餐</v>
          </cell>
        </row>
        <row r="1401">
          <cell r="S1401">
            <v>12</v>
          </cell>
        </row>
        <row r="1402">
          <cell r="M1402" t="str">
            <v>晚餐</v>
          </cell>
        </row>
        <row r="1402">
          <cell r="S1402">
            <v>12</v>
          </cell>
        </row>
        <row r="1403">
          <cell r="M1403" t="str">
            <v>晚餐</v>
          </cell>
        </row>
        <row r="1403">
          <cell r="S1403">
            <v>33</v>
          </cell>
        </row>
        <row r="1404">
          <cell r="M1404" t="str">
            <v>晚餐</v>
          </cell>
        </row>
        <row r="1404">
          <cell r="S1404">
            <v>3.5</v>
          </cell>
        </row>
        <row r="1405">
          <cell r="M1405" t="str">
            <v>菜钱</v>
          </cell>
        </row>
        <row r="1405">
          <cell r="S1405">
            <v>32.98</v>
          </cell>
        </row>
        <row r="1406">
          <cell r="M1406" t="str">
            <v>晚餐</v>
          </cell>
        </row>
        <row r="1406">
          <cell r="S1406">
            <v>12</v>
          </cell>
        </row>
        <row r="1407">
          <cell r="M1407" t="str">
            <v>菜钱</v>
          </cell>
        </row>
        <row r="1407">
          <cell r="S1407">
            <v>25.61</v>
          </cell>
        </row>
        <row r="1408">
          <cell r="M1408" t="str">
            <v>小资</v>
          </cell>
        </row>
        <row r="1408">
          <cell r="R1408" t="str">
            <v>吃喝</v>
          </cell>
          <cell r="S1408">
            <v>7.93</v>
          </cell>
        </row>
        <row r="1409">
          <cell r="M1409" t="str">
            <v>出行</v>
          </cell>
        </row>
        <row r="1409">
          <cell r="S1409">
            <v>2.7</v>
          </cell>
        </row>
        <row r="1410">
          <cell r="M1410" t="str">
            <v>恋爱</v>
          </cell>
        </row>
        <row r="1410">
          <cell r="R1410" t="str">
            <v>城际</v>
          </cell>
          <cell r="S1410">
            <v>410</v>
          </cell>
        </row>
        <row r="1411">
          <cell r="M1411" t="str">
            <v>晚餐</v>
          </cell>
        </row>
        <row r="1411">
          <cell r="S1411">
            <v>12</v>
          </cell>
        </row>
        <row r="1412">
          <cell r="M1412" t="str">
            <v>电费</v>
          </cell>
        </row>
        <row r="1412">
          <cell r="S1412">
            <v>10</v>
          </cell>
        </row>
        <row r="1413">
          <cell r="M1413" t="str">
            <v>晚餐</v>
          </cell>
        </row>
        <row r="1413">
          <cell r="S1413">
            <v>12</v>
          </cell>
        </row>
        <row r="1414">
          <cell r="M1414" t="str">
            <v>菜钱</v>
          </cell>
        </row>
        <row r="1414">
          <cell r="S1414">
            <v>4.6</v>
          </cell>
        </row>
        <row r="1415">
          <cell r="M1415" t="str">
            <v>菜钱</v>
          </cell>
        </row>
        <row r="1415">
          <cell r="S1415">
            <v>4.79</v>
          </cell>
        </row>
        <row r="1416">
          <cell r="M1416" t="str">
            <v>会员</v>
          </cell>
        </row>
        <row r="1416">
          <cell r="S1416">
            <v>8</v>
          </cell>
        </row>
        <row r="1417">
          <cell r="M1417" t="str">
            <v>晚餐</v>
          </cell>
        </row>
        <row r="1417">
          <cell r="S1417">
            <v>12</v>
          </cell>
        </row>
        <row r="1418">
          <cell r="M1418" t="str">
            <v>会员</v>
          </cell>
        </row>
        <row r="1418">
          <cell r="S1418">
            <v>25</v>
          </cell>
        </row>
        <row r="1419">
          <cell r="M1419" t="str">
            <v>出行</v>
          </cell>
        </row>
        <row r="1419">
          <cell r="S1419">
            <v>15.33</v>
          </cell>
        </row>
        <row r="1420">
          <cell r="M1420" t="str">
            <v>恋爱</v>
          </cell>
        </row>
        <row r="1420">
          <cell r="R1420" t="str">
            <v>药品</v>
          </cell>
          <cell r="S1420">
            <v>72.5</v>
          </cell>
        </row>
        <row r="1421">
          <cell r="M1421" t="str">
            <v>恋爱</v>
          </cell>
        </row>
        <row r="1421">
          <cell r="R1421" t="str">
            <v>城内</v>
          </cell>
          <cell r="S1421">
            <v>9.9</v>
          </cell>
        </row>
        <row r="1422">
          <cell r="M1422" t="str">
            <v>恋爱</v>
          </cell>
        </row>
        <row r="1422">
          <cell r="R1422" t="str">
            <v>吃喝</v>
          </cell>
          <cell r="S1422">
            <v>52</v>
          </cell>
        </row>
        <row r="1423">
          <cell r="M1423" t="str">
            <v>恋爱</v>
          </cell>
        </row>
        <row r="1423">
          <cell r="R1423" t="str">
            <v>吃喝</v>
          </cell>
          <cell r="S1423">
            <v>52</v>
          </cell>
        </row>
        <row r="1424">
          <cell r="M1424" t="str">
            <v>恋爱</v>
          </cell>
        </row>
        <row r="1424">
          <cell r="R1424" t="str">
            <v>吃喝</v>
          </cell>
          <cell r="S1424">
            <v>193</v>
          </cell>
        </row>
        <row r="1425">
          <cell r="M1425" t="str">
            <v>恋爱</v>
          </cell>
        </row>
        <row r="1425">
          <cell r="R1425" t="str">
            <v>吃喝</v>
          </cell>
          <cell r="S1425">
            <v>18.8</v>
          </cell>
        </row>
        <row r="1426">
          <cell r="M1426" t="str">
            <v>恋爱</v>
          </cell>
        </row>
        <row r="1426">
          <cell r="R1426" t="str">
            <v>吃喝</v>
          </cell>
          <cell r="S1426">
            <v>43</v>
          </cell>
        </row>
        <row r="1427">
          <cell r="M1427" t="str">
            <v>恋爱</v>
          </cell>
        </row>
        <row r="1427">
          <cell r="R1427" t="str">
            <v>吃喝</v>
          </cell>
          <cell r="S1427">
            <v>23</v>
          </cell>
        </row>
        <row r="1428">
          <cell r="M1428" t="str">
            <v>恋爱</v>
          </cell>
        </row>
        <row r="1428">
          <cell r="R1428" t="str">
            <v>城际</v>
          </cell>
          <cell r="S1428">
            <v>700</v>
          </cell>
        </row>
        <row r="1429">
          <cell r="M1429" t="str">
            <v>恋爱</v>
          </cell>
        </row>
        <row r="1429">
          <cell r="R1429" t="str">
            <v>吃喝</v>
          </cell>
          <cell r="S1429">
            <v>41.3</v>
          </cell>
        </row>
        <row r="1430">
          <cell r="M1430" t="str">
            <v>恋爱</v>
          </cell>
        </row>
        <row r="1430">
          <cell r="R1430" t="str">
            <v>吃喝</v>
          </cell>
          <cell r="S1430">
            <v>399</v>
          </cell>
        </row>
        <row r="1431">
          <cell r="M1431" t="str">
            <v>恋爱</v>
          </cell>
        </row>
        <row r="1431">
          <cell r="R1431" t="str">
            <v>吃喝</v>
          </cell>
          <cell r="S1431">
            <v>72.5</v>
          </cell>
        </row>
        <row r="1432">
          <cell r="M1432" t="str">
            <v>恋爱</v>
          </cell>
        </row>
        <row r="1432">
          <cell r="R1432" t="str">
            <v>吃喝</v>
          </cell>
          <cell r="S1432">
            <v>59</v>
          </cell>
        </row>
        <row r="1433">
          <cell r="M1433" t="str">
            <v>恋爱</v>
          </cell>
        </row>
        <row r="1433">
          <cell r="R1433" t="str">
            <v>吃喝</v>
          </cell>
          <cell r="S1433">
            <v>9</v>
          </cell>
        </row>
        <row r="1434">
          <cell r="M1434" t="str">
            <v>恋爱</v>
          </cell>
        </row>
        <row r="1434">
          <cell r="R1434" t="str">
            <v>吃喝</v>
          </cell>
          <cell r="S1434">
            <v>13</v>
          </cell>
        </row>
        <row r="1435">
          <cell r="M1435" t="str">
            <v>恋爱</v>
          </cell>
        </row>
        <row r="1435">
          <cell r="R1435" t="str">
            <v>吃喝</v>
          </cell>
          <cell r="S1435">
            <v>15.3</v>
          </cell>
        </row>
        <row r="1436">
          <cell r="M1436" t="str">
            <v>恋爱</v>
          </cell>
        </row>
        <row r="1436">
          <cell r="R1436" t="str">
            <v>吃喝</v>
          </cell>
          <cell r="S1436">
            <v>25</v>
          </cell>
        </row>
        <row r="1437">
          <cell r="M1437" t="str">
            <v>会员</v>
          </cell>
        </row>
        <row r="1437">
          <cell r="S1437">
            <v>15</v>
          </cell>
        </row>
        <row r="1438">
          <cell r="M1438" t="str">
            <v>恋爱</v>
          </cell>
        </row>
        <row r="1438">
          <cell r="R1438" t="str">
            <v>吃喝</v>
          </cell>
          <cell r="S1438">
            <v>40</v>
          </cell>
        </row>
        <row r="1439">
          <cell r="M1439" t="str">
            <v>晚餐</v>
          </cell>
        </row>
        <row r="1439">
          <cell r="S1439">
            <v>8</v>
          </cell>
        </row>
        <row r="1440">
          <cell r="M1440" t="str">
            <v>晚餐</v>
          </cell>
        </row>
        <row r="1440">
          <cell r="S1440">
            <v>10</v>
          </cell>
        </row>
        <row r="1441">
          <cell r="M1441" t="str">
            <v>晚餐</v>
          </cell>
        </row>
        <row r="1441">
          <cell r="S1441">
            <v>22.5</v>
          </cell>
        </row>
        <row r="1442">
          <cell r="M1442" t="str">
            <v>小资</v>
          </cell>
        </row>
        <row r="1442">
          <cell r="R1442" t="str">
            <v>吃喝</v>
          </cell>
          <cell r="S1442">
            <v>5</v>
          </cell>
        </row>
        <row r="1443">
          <cell r="M1443" t="str">
            <v>晚餐</v>
          </cell>
        </row>
        <row r="1443">
          <cell r="S1443">
            <v>12</v>
          </cell>
        </row>
        <row r="1444">
          <cell r="M1444" t="str">
            <v>小资</v>
          </cell>
        </row>
        <row r="1444">
          <cell r="R1444" t="str">
            <v>吃喝</v>
          </cell>
          <cell r="S1444">
            <v>6</v>
          </cell>
        </row>
        <row r="1445">
          <cell r="M1445" t="str">
            <v>小资</v>
          </cell>
        </row>
        <row r="1445">
          <cell r="R1445" t="str">
            <v>吃喝</v>
          </cell>
          <cell r="S1445">
            <v>4</v>
          </cell>
        </row>
        <row r="1446">
          <cell r="M1446" t="str">
            <v>晚餐</v>
          </cell>
        </row>
        <row r="1446">
          <cell r="S1446">
            <v>20</v>
          </cell>
        </row>
        <row r="1447">
          <cell r="M1447" t="str">
            <v>晚餐</v>
          </cell>
        </row>
        <row r="1447">
          <cell r="S1447">
            <v>12</v>
          </cell>
        </row>
        <row r="1448">
          <cell r="M1448" t="str">
            <v>晚餐</v>
          </cell>
        </row>
        <row r="1448">
          <cell r="S1448">
            <v>5</v>
          </cell>
        </row>
        <row r="1449">
          <cell r="M1449" t="str">
            <v>日用</v>
          </cell>
        </row>
        <row r="1449">
          <cell r="S1449">
            <v>44.2</v>
          </cell>
        </row>
        <row r="1450">
          <cell r="M1450" t="str">
            <v>晚餐</v>
          </cell>
        </row>
        <row r="1450">
          <cell r="S1450">
            <v>30</v>
          </cell>
        </row>
        <row r="1451">
          <cell r="M1451" t="str">
            <v>晚餐</v>
          </cell>
        </row>
        <row r="1451">
          <cell r="S1451">
            <v>9</v>
          </cell>
        </row>
        <row r="1452">
          <cell r="M1452" t="str">
            <v>晚餐</v>
          </cell>
        </row>
        <row r="1452">
          <cell r="S1452">
            <v>2</v>
          </cell>
        </row>
        <row r="1453">
          <cell r="M1453" t="str">
            <v>晚餐</v>
          </cell>
        </row>
        <row r="1453">
          <cell r="S1453">
            <v>12</v>
          </cell>
        </row>
        <row r="1454">
          <cell r="M1454" t="str">
            <v>晚餐</v>
          </cell>
        </row>
        <row r="1454">
          <cell r="S1454">
            <v>6</v>
          </cell>
        </row>
        <row r="1455">
          <cell r="M1455" t="str">
            <v>日用</v>
          </cell>
        </row>
        <row r="1455">
          <cell r="S1455">
            <v>15.5</v>
          </cell>
        </row>
        <row r="1456">
          <cell r="M1456" t="str">
            <v>晚餐</v>
          </cell>
        </row>
        <row r="1456">
          <cell r="S1456">
            <v>35</v>
          </cell>
        </row>
        <row r="1457">
          <cell r="M1457" t="str">
            <v>小资</v>
          </cell>
        </row>
        <row r="1457">
          <cell r="R1457" t="str">
            <v>吃喝</v>
          </cell>
          <cell r="S1457">
            <v>9</v>
          </cell>
        </row>
        <row r="1458">
          <cell r="M1458" t="str">
            <v>课程</v>
          </cell>
        </row>
        <row r="1458">
          <cell r="S1458">
            <v>6.8</v>
          </cell>
        </row>
        <row r="1459">
          <cell r="M1459" t="str">
            <v>出行</v>
          </cell>
        </row>
        <row r="1459">
          <cell r="S1459">
            <v>620</v>
          </cell>
        </row>
        <row r="1460">
          <cell r="M1460" t="str">
            <v>晚餐</v>
          </cell>
        </row>
        <row r="1460">
          <cell r="S1460">
            <v>15</v>
          </cell>
        </row>
        <row r="1461">
          <cell r="M1461" t="str">
            <v>恋爱</v>
          </cell>
        </row>
        <row r="1461">
          <cell r="R1461" t="str">
            <v>礼物</v>
          </cell>
          <cell r="S1461">
            <v>144</v>
          </cell>
        </row>
        <row r="1462">
          <cell r="M1462" t="str">
            <v>晚餐</v>
          </cell>
        </row>
        <row r="1462">
          <cell r="S1462">
            <v>20</v>
          </cell>
        </row>
        <row r="1463">
          <cell r="M1463" t="str">
            <v>晚餐</v>
          </cell>
        </row>
        <row r="1463">
          <cell r="S1463">
            <v>29.27</v>
          </cell>
        </row>
        <row r="1464">
          <cell r="M1464" t="str">
            <v>出行</v>
          </cell>
        </row>
        <row r="1464">
          <cell r="S1464">
            <v>372</v>
          </cell>
        </row>
        <row r="1465">
          <cell r="M1465" t="str">
            <v>话费</v>
          </cell>
        </row>
        <row r="1465">
          <cell r="S1465">
            <v>50</v>
          </cell>
        </row>
        <row r="1466">
          <cell r="M1466" t="str">
            <v>晚餐</v>
          </cell>
        </row>
        <row r="1466">
          <cell r="S1466">
            <v>15</v>
          </cell>
        </row>
        <row r="1467">
          <cell r="M1467" t="str">
            <v>恋爱</v>
          </cell>
        </row>
        <row r="1467">
          <cell r="R1467" t="str">
            <v>吃喝</v>
          </cell>
          <cell r="S1467">
            <v>12.59</v>
          </cell>
        </row>
        <row r="1468">
          <cell r="M1468" t="str">
            <v>恋爱</v>
          </cell>
        </row>
        <row r="1468">
          <cell r="R1468" t="str">
            <v>吃喝</v>
          </cell>
          <cell r="S1468">
            <v>46.68</v>
          </cell>
        </row>
        <row r="1469">
          <cell r="M1469" t="str">
            <v>恋爱</v>
          </cell>
        </row>
        <row r="1469">
          <cell r="R1469" t="str">
            <v>吃喝</v>
          </cell>
          <cell r="S1469">
            <v>54</v>
          </cell>
        </row>
        <row r="1470">
          <cell r="M1470" t="str">
            <v>恋爱</v>
          </cell>
        </row>
        <row r="1470">
          <cell r="R1470" t="str">
            <v>吃喝</v>
          </cell>
          <cell r="S1470">
            <v>3</v>
          </cell>
        </row>
        <row r="1471">
          <cell r="M1471" t="str">
            <v>恋爱</v>
          </cell>
        </row>
        <row r="1471">
          <cell r="R1471" t="str">
            <v>药品</v>
          </cell>
          <cell r="S1471">
            <v>72.5</v>
          </cell>
        </row>
        <row r="1472">
          <cell r="M1472" t="str">
            <v>恋爱</v>
          </cell>
        </row>
        <row r="1472">
          <cell r="R1472" t="str">
            <v>城内</v>
          </cell>
          <cell r="S1472">
            <v>65.47</v>
          </cell>
        </row>
        <row r="1473">
          <cell r="M1473" t="str">
            <v>恋爱</v>
          </cell>
        </row>
        <row r="1473">
          <cell r="R1473" t="str">
            <v>吃喝</v>
          </cell>
          <cell r="S1473">
            <v>191</v>
          </cell>
        </row>
        <row r="1474">
          <cell r="M1474" t="str">
            <v>恋爱</v>
          </cell>
        </row>
        <row r="1474">
          <cell r="R1474" t="str">
            <v>城内</v>
          </cell>
          <cell r="S1474">
            <v>25.27</v>
          </cell>
        </row>
        <row r="1475">
          <cell r="M1475" t="str">
            <v>恋爱</v>
          </cell>
        </row>
        <row r="1475">
          <cell r="R1475" t="str">
            <v>城内</v>
          </cell>
          <cell r="S1475">
            <v>9.73</v>
          </cell>
        </row>
        <row r="1476">
          <cell r="M1476" t="str">
            <v>恋爱</v>
          </cell>
        </row>
        <row r="1476">
          <cell r="R1476" t="str">
            <v>吃喝</v>
          </cell>
          <cell r="S1476">
            <v>34</v>
          </cell>
        </row>
        <row r="1477">
          <cell r="M1477" t="str">
            <v>个人借款</v>
          </cell>
        </row>
        <row r="1477">
          <cell r="S1477">
            <v>-10000</v>
          </cell>
        </row>
        <row r="1478">
          <cell r="M1478" t="str">
            <v>恋爱</v>
          </cell>
        </row>
        <row r="1478">
          <cell r="R1478" t="str">
            <v>城内</v>
          </cell>
          <cell r="S1478">
            <v>16.1</v>
          </cell>
        </row>
        <row r="1479">
          <cell r="M1479" t="str">
            <v>恋爱</v>
          </cell>
        </row>
        <row r="1479">
          <cell r="R1479" t="str">
            <v>吃喝</v>
          </cell>
          <cell r="S1479">
            <v>10</v>
          </cell>
        </row>
        <row r="1480">
          <cell r="M1480" t="str">
            <v>出行</v>
          </cell>
        </row>
        <row r="1480">
          <cell r="S1480">
            <v>34</v>
          </cell>
        </row>
        <row r="1481">
          <cell r="M1481" t="str">
            <v>出行</v>
          </cell>
        </row>
        <row r="1481">
          <cell r="S1481">
            <v>7</v>
          </cell>
        </row>
        <row r="1482">
          <cell r="M1482" t="str">
            <v>出行</v>
          </cell>
        </row>
        <row r="1482">
          <cell r="S1482">
            <v>58.5</v>
          </cell>
        </row>
        <row r="1483">
          <cell r="M1483" t="str">
            <v>小资</v>
          </cell>
        </row>
        <row r="1483">
          <cell r="R1483" t="str">
            <v>游玩</v>
          </cell>
          <cell r="S1483">
            <v>90</v>
          </cell>
        </row>
        <row r="1484">
          <cell r="M1484" t="str">
            <v>晚餐</v>
          </cell>
        </row>
        <row r="1484">
          <cell r="S1484">
            <v>12</v>
          </cell>
        </row>
        <row r="1485">
          <cell r="M1485" t="str">
            <v>出行</v>
          </cell>
        </row>
        <row r="1485">
          <cell r="S1485">
            <v>20.5</v>
          </cell>
        </row>
        <row r="1486">
          <cell r="M1486" t="str">
            <v>孝敬</v>
          </cell>
        </row>
        <row r="1486">
          <cell r="S1486">
            <v>1001</v>
          </cell>
        </row>
        <row r="1487">
          <cell r="M1487" t="str">
            <v>日用</v>
          </cell>
        </row>
        <row r="1487">
          <cell r="S1487">
            <v>-547</v>
          </cell>
        </row>
        <row r="1488">
          <cell r="M1488" t="str">
            <v>晚餐</v>
          </cell>
        </row>
        <row r="1488">
          <cell r="S1488">
            <v>36</v>
          </cell>
        </row>
        <row r="1489">
          <cell r="M1489" t="str">
            <v>出行</v>
          </cell>
        </row>
        <row r="1489">
          <cell r="S1489">
            <v>6.2</v>
          </cell>
        </row>
        <row r="1490">
          <cell r="M1490" t="str">
            <v>晚餐</v>
          </cell>
        </row>
        <row r="1490">
          <cell r="S1490">
            <v>15</v>
          </cell>
        </row>
        <row r="1491">
          <cell r="M1491" t="str">
            <v>出行</v>
          </cell>
        </row>
        <row r="1491">
          <cell r="S1491">
            <v>14.39</v>
          </cell>
        </row>
        <row r="1492">
          <cell r="M1492" t="str">
            <v>话费</v>
          </cell>
        </row>
        <row r="1492">
          <cell r="S1492">
            <v>-40</v>
          </cell>
        </row>
        <row r="1493">
          <cell r="M1493" t="str">
            <v>房租</v>
          </cell>
        </row>
        <row r="1493">
          <cell r="S1493">
            <v>860</v>
          </cell>
        </row>
        <row r="1494">
          <cell r="M1494" t="str">
            <v>日用</v>
          </cell>
        </row>
        <row r="1494">
          <cell r="S1494">
            <v>30</v>
          </cell>
        </row>
        <row r="1495">
          <cell r="M1495" t="str">
            <v>话费</v>
          </cell>
        </row>
        <row r="1495">
          <cell r="S1495">
            <v>200</v>
          </cell>
        </row>
        <row r="1496">
          <cell r="M1496" t="str">
            <v>房租</v>
          </cell>
        </row>
        <row r="1496">
          <cell r="S1496">
            <v>-2000</v>
          </cell>
        </row>
        <row r="1497">
          <cell r="M1497" t="str">
            <v>会员</v>
          </cell>
        </row>
        <row r="1497">
          <cell r="S1497">
            <v>19</v>
          </cell>
        </row>
        <row r="1498">
          <cell r="M1498" t="str">
            <v>日用</v>
          </cell>
        </row>
        <row r="1498">
          <cell r="S1498">
            <v>18</v>
          </cell>
        </row>
        <row r="1499">
          <cell r="M1499" t="str">
            <v>晚餐</v>
          </cell>
        </row>
        <row r="1499">
          <cell r="S1499">
            <v>4</v>
          </cell>
        </row>
        <row r="1500">
          <cell r="M1500" t="str">
            <v>日用</v>
          </cell>
        </row>
        <row r="1500">
          <cell r="S1500">
            <v>76</v>
          </cell>
        </row>
        <row r="1501">
          <cell r="M1501" t="str">
            <v>日用</v>
          </cell>
        </row>
        <row r="1501">
          <cell r="S1501">
            <v>160</v>
          </cell>
        </row>
        <row r="1502">
          <cell r="M1502" t="str">
            <v>晚餐</v>
          </cell>
        </row>
        <row r="1502">
          <cell r="S1502">
            <v>20</v>
          </cell>
        </row>
        <row r="1503">
          <cell r="M1503" t="str">
            <v>日用</v>
          </cell>
        </row>
        <row r="1503">
          <cell r="S1503">
            <v>3</v>
          </cell>
        </row>
        <row r="1504">
          <cell r="M1504" t="str">
            <v>日用</v>
          </cell>
        </row>
        <row r="1504">
          <cell r="S1504">
            <v>24</v>
          </cell>
        </row>
        <row r="1505">
          <cell r="M1505" t="str">
            <v>日用</v>
          </cell>
        </row>
        <row r="1505">
          <cell r="S1505">
            <v>10</v>
          </cell>
        </row>
        <row r="1506">
          <cell r="M1506" t="str">
            <v>晚餐</v>
          </cell>
        </row>
        <row r="1506">
          <cell r="S1506">
            <v>15</v>
          </cell>
        </row>
        <row r="1507">
          <cell r="M1507" t="str">
            <v>水费</v>
          </cell>
        </row>
        <row r="1507">
          <cell r="S1507">
            <v>9</v>
          </cell>
        </row>
        <row r="1508">
          <cell r="M1508" t="str">
            <v>出行</v>
          </cell>
        </row>
        <row r="1508">
          <cell r="S1508">
            <v>18.8</v>
          </cell>
        </row>
        <row r="1509">
          <cell r="M1509" t="str">
            <v>话费</v>
          </cell>
        </row>
        <row r="1509">
          <cell r="S1509">
            <v>50</v>
          </cell>
        </row>
        <row r="1510">
          <cell r="M1510" t="str">
            <v>会员</v>
          </cell>
        </row>
        <row r="1510">
          <cell r="S1510">
            <v>15</v>
          </cell>
        </row>
        <row r="1511">
          <cell r="M1511" t="str">
            <v>晚餐</v>
          </cell>
        </row>
        <row r="1511">
          <cell r="S1511">
            <v>15</v>
          </cell>
        </row>
        <row r="1512">
          <cell r="M1512" t="str">
            <v>日用</v>
          </cell>
        </row>
        <row r="1512">
          <cell r="S1512">
            <v>3</v>
          </cell>
        </row>
        <row r="1513">
          <cell r="M1513" t="str">
            <v>小资</v>
          </cell>
        </row>
        <row r="1513">
          <cell r="R1513" t="str">
            <v>吃喝</v>
          </cell>
          <cell r="S1513">
            <v>35</v>
          </cell>
        </row>
        <row r="1514">
          <cell r="M1514" t="str">
            <v>会员</v>
          </cell>
        </row>
        <row r="1514">
          <cell r="S1514">
            <v>15</v>
          </cell>
        </row>
        <row r="1515">
          <cell r="M1515" t="str">
            <v>日用</v>
          </cell>
        </row>
        <row r="1515">
          <cell r="S1515">
            <v>108</v>
          </cell>
        </row>
        <row r="1516">
          <cell r="M1516" t="str">
            <v>小资</v>
          </cell>
        </row>
        <row r="1516">
          <cell r="R1516" t="str">
            <v>吃喝</v>
          </cell>
          <cell r="S1516">
            <v>23</v>
          </cell>
        </row>
        <row r="1517">
          <cell r="M1517" t="str">
            <v>日用</v>
          </cell>
        </row>
        <row r="1517">
          <cell r="S1517">
            <v>2</v>
          </cell>
        </row>
        <row r="1518">
          <cell r="M1518" t="str">
            <v>晚餐</v>
          </cell>
        </row>
        <row r="1518">
          <cell r="S1518">
            <v>12</v>
          </cell>
        </row>
        <row r="1519">
          <cell r="M1519" t="str">
            <v>晚餐</v>
          </cell>
        </row>
        <row r="1519">
          <cell r="S1519">
            <v>15</v>
          </cell>
        </row>
        <row r="1520">
          <cell r="M1520" t="str">
            <v>晚餐</v>
          </cell>
        </row>
        <row r="1520">
          <cell r="S1520">
            <v>22</v>
          </cell>
        </row>
        <row r="1521">
          <cell r="M1521" t="str">
            <v>课程</v>
          </cell>
        </row>
        <row r="1521">
          <cell r="S1521">
            <v>85</v>
          </cell>
        </row>
        <row r="1522">
          <cell r="M1522" t="str">
            <v>日用</v>
          </cell>
        </row>
        <row r="1522">
          <cell r="S1522">
            <v>14</v>
          </cell>
        </row>
        <row r="1523">
          <cell r="M1523" t="str">
            <v>社交</v>
          </cell>
        </row>
        <row r="1523">
          <cell r="S1523">
            <v>110</v>
          </cell>
        </row>
        <row r="1524">
          <cell r="M1524" t="str">
            <v>日用</v>
          </cell>
        </row>
        <row r="1524">
          <cell r="S1524">
            <v>2</v>
          </cell>
        </row>
        <row r="1525">
          <cell r="M1525" t="str">
            <v>日用</v>
          </cell>
        </row>
        <row r="1525">
          <cell r="S1525">
            <v>40</v>
          </cell>
        </row>
        <row r="1526">
          <cell r="M1526" t="str">
            <v>早餐</v>
          </cell>
        </row>
        <row r="1526">
          <cell r="S1526">
            <v>4.5</v>
          </cell>
        </row>
        <row r="1527">
          <cell r="M1527" t="str">
            <v>网贷还本</v>
          </cell>
        </row>
        <row r="1527">
          <cell r="R1527" t="str">
            <v>浙江网商银行</v>
          </cell>
          <cell r="S1527">
            <v>530</v>
          </cell>
        </row>
        <row r="1528">
          <cell r="M1528" t="str">
            <v>保山</v>
          </cell>
        </row>
        <row r="1528">
          <cell r="S1528">
            <v>530</v>
          </cell>
        </row>
        <row r="1529">
          <cell r="M1529" t="str">
            <v>话费</v>
          </cell>
        </row>
        <row r="1529">
          <cell r="S1529">
            <v>50</v>
          </cell>
        </row>
        <row r="1530">
          <cell r="M1530" t="str">
            <v>会员</v>
          </cell>
        </row>
        <row r="1530">
          <cell r="S1530">
            <v>8</v>
          </cell>
        </row>
        <row r="1531">
          <cell r="M1531" t="str">
            <v>晚餐</v>
          </cell>
        </row>
        <row r="1531">
          <cell r="S1531">
            <v>15</v>
          </cell>
        </row>
        <row r="1532">
          <cell r="M1532" t="str">
            <v>日用</v>
          </cell>
        </row>
        <row r="1532">
          <cell r="S1532">
            <v>10</v>
          </cell>
        </row>
        <row r="1533">
          <cell r="M1533" t="str">
            <v>晚餐</v>
          </cell>
        </row>
        <row r="1533">
          <cell r="S1533">
            <v>15</v>
          </cell>
        </row>
        <row r="1534">
          <cell r="M1534" t="str">
            <v>恋爱</v>
          </cell>
        </row>
        <row r="1534">
          <cell r="R1534" t="str">
            <v>城际</v>
          </cell>
          <cell r="S1534">
            <v>44.5</v>
          </cell>
        </row>
        <row r="1535">
          <cell r="M1535" t="str">
            <v>恋爱</v>
          </cell>
        </row>
        <row r="1535">
          <cell r="R1535" t="str">
            <v>城内</v>
          </cell>
          <cell r="S1535">
            <v>9.99</v>
          </cell>
        </row>
        <row r="1536">
          <cell r="M1536" t="str">
            <v>恋爱</v>
          </cell>
        </row>
        <row r="1536">
          <cell r="R1536" t="str">
            <v>吃喝</v>
          </cell>
          <cell r="S1536">
            <v>10</v>
          </cell>
        </row>
        <row r="1537">
          <cell r="M1537" t="str">
            <v>恋爱</v>
          </cell>
        </row>
        <row r="1537">
          <cell r="R1537" t="str">
            <v>吃喝</v>
          </cell>
          <cell r="S1537">
            <v>15</v>
          </cell>
        </row>
        <row r="1538">
          <cell r="M1538" t="str">
            <v>恋爱</v>
          </cell>
        </row>
        <row r="1538">
          <cell r="R1538" t="str">
            <v>城内</v>
          </cell>
          <cell r="S1538">
            <v>35.8</v>
          </cell>
        </row>
        <row r="1539">
          <cell r="M1539" t="str">
            <v>恋爱</v>
          </cell>
        </row>
        <row r="1539">
          <cell r="R1539" t="str">
            <v>住宿</v>
          </cell>
          <cell r="S1539">
            <v>506.88</v>
          </cell>
        </row>
        <row r="1540">
          <cell r="M1540" t="str">
            <v>恋爱</v>
          </cell>
        </row>
        <row r="1540">
          <cell r="R1540" t="str">
            <v>城内</v>
          </cell>
          <cell r="S1540">
            <v>7</v>
          </cell>
        </row>
        <row r="1541">
          <cell r="M1541" t="str">
            <v>恋爱</v>
          </cell>
        </row>
        <row r="1541">
          <cell r="R1541" t="str">
            <v>城内</v>
          </cell>
          <cell r="S1541">
            <v>55.5</v>
          </cell>
        </row>
        <row r="1542">
          <cell r="M1542" t="str">
            <v>恋爱</v>
          </cell>
        </row>
        <row r="1542">
          <cell r="R1542" t="str">
            <v>住宿</v>
          </cell>
          <cell r="S1542">
            <v>491</v>
          </cell>
        </row>
        <row r="1543">
          <cell r="M1543" t="str">
            <v>恋爱</v>
          </cell>
        </row>
        <row r="1543">
          <cell r="R1543" t="str">
            <v>城际</v>
          </cell>
          <cell r="S1543">
            <v>89</v>
          </cell>
        </row>
        <row r="1544">
          <cell r="M1544" t="str">
            <v>恋爱</v>
          </cell>
        </row>
        <row r="1544">
          <cell r="R1544" t="str">
            <v>吃喝</v>
          </cell>
          <cell r="S1544">
            <v>23</v>
          </cell>
        </row>
        <row r="1545">
          <cell r="M1545" t="str">
            <v>恋爱</v>
          </cell>
        </row>
        <row r="1545">
          <cell r="R1545" t="str">
            <v>城内</v>
          </cell>
          <cell r="S1545">
            <v>16</v>
          </cell>
        </row>
        <row r="1546">
          <cell r="M1546" t="str">
            <v>恋爱</v>
          </cell>
        </row>
        <row r="1546">
          <cell r="R1546" t="str">
            <v>吃喝</v>
          </cell>
          <cell r="S1546">
            <v>20</v>
          </cell>
        </row>
        <row r="1547">
          <cell r="M1547" t="str">
            <v>恋爱</v>
          </cell>
        </row>
        <row r="1547">
          <cell r="R1547" t="str">
            <v>城内</v>
          </cell>
          <cell r="S1547">
            <v>18.2</v>
          </cell>
        </row>
        <row r="1548">
          <cell r="M1548" t="str">
            <v>恋爱</v>
          </cell>
        </row>
        <row r="1548">
          <cell r="R1548" t="str">
            <v>吃喝</v>
          </cell>
          <cell r="S1548">
            <v>27.8</v>
          </cell>
        </row>
        <row r="1549">
          <cell r="M1549" t="str">
            <v>恋爱</v>
          </cell>
        </row>
        <row r="1549">
          <cell r="R1549" t="str">
            <v>吃喝</v>
          </cell>
          <cell r="S1549">
            <v>133</v>
          </cell>
        </row>
        <row r="1550">
          <cell r="M1550" t="str">
            <v>恋爱</v>
          </cell>
        </row>
        <row r="1550">
          <cell r="R1550" t="str">
            <v>吃喝</v>
          </cell>
          <cell r="S1550">
            <v>12</v>
          </cell>
        </row>
        <row r="1551">
          <cell r="M1551" t="str">
            <v>恋爱</v>
          </cell>
        </row>
        <row r="1551">
          <cell r="R1551" t="str">
            <v>吃喝</v>
          </cell>
          <cell r="S1551">
            <v>30</v>
          </cell>
        </row>
        <row r="1552">
          <cell r="M1552" t="str">
            <v>恋爱</v>
          </cell>
        </row>
        <row r="1552">
          <cell r="R1552" t="str">
            <v>吃喝</v>
          </cell>
          <cell r="S1552">
            <v>11.5</v>
          </cell>
        </row>
        <row r="1553">
          <cell r="M1553" t="str">
            <v>恋爱</v>
          </cell>
        </row>
        <row r="1553">
          <cell r="R1553" t="str">
            <v>住宿</v>
          </cell>
          <cell r="S1553">
            <v>460</v>
          </cell>
        </row>
        <row r="1554">
          <cell r="M1554" t="str">
            <v>恋爱</v>
          </cell>
        </row>
        <row r="1554">
          <cell r="R1554" t="str">
            <v>城内</v>
          </cell>
          <cell r="S1554">
            <v>3.5</v>
          </cell>
        </row>
        <row r="1555">
          <cell r="M1555" t="str">
            <v>恋爱</v>
          </cell>
        </row>
        <row r="1555">
          <cell r="R1555" t="str">
            <v>城内</v>
          </cell>
          <cell r="S1555">
            <v>16.8</v>
          </cell>
        </row>
        <row r="1556">
          <cell r="M1556" t="str">
            <v>恋爱</v>
          </cell>
        </row>
        <row r="1556">
          <cell r="R1556" t="str">
            <v>城内</v>
          </cell>
          <cell r="S1556">
            <v>17.4</v>
          </cell>
        </row>
        <row r="1557">
          <cell r="M1557" t="str">
            <v>恋爱</v>
          </cell>
        </row>
        <row r="1557">
          <cell r="R1557" t="str">
            <v>城内</v>
          </cell>
          <cell r="S1557">
            <v>4.5</v>
          </cell>
        </row>
        <row r="1558">
          <cell r="M1558" t="str">
            <v>恋爱</v>
          </cell>
        </row>
        <row r="1558">
          <cell r="R1558" t="str">
            <v>吃喝</v>
          </cell>
          <cell r="S1558">
            <v>100</v>
          </cell>
        </row>
        <row r="1559">
          <cell r="M1559" t="str">
            <v>恋爱</v>
          </cell>
        </row>
        <row r="1559">
          <cell r="R1559" t="str">
            <v>吃喝</v>
          </cell>
          <cell r="S1559">
            <v>29.9</v>
          </cell>
        </row>
        <row r="1560">
          <cell r="M1560" t="str">
            <v>恋爱</v>
          </cell>
        </row>
        <row r="1560">
          <cell r="R1560" t="str">
            <v>城内</v>
          </cell>
          <cell r="S1560">
            <v>4.5</v>
          </cell>
        </row>
        <row r="1561">
          <cell r="M1561" t="str">
            <v>会员</v>
          </cell>
        </row>
        <row r="1561">
          <cell r="S1561">
            <v>15</v>
          </cell>
        </row>
        <row r="1562">
          <cell r="M1562" t="str">
            <v>恋爱</v>
          </cell>
        </row>
        <row r="1562">
          <cell r="R1562" t="str">
            <v>吃喝</v>
          </cell>
          <cell r="S1562">
            <v>163</v>
          </cell>
        </row>
        <row r="1563">
          <cell r="M1563" t="str">
            <v>恋爱</v>
          </cell>
        </row>
        <row r="1563">
          <cell r="R1563" t="str">
            <v>吃喝</v>
          </cell>
          <cell r="S1563">
            <v>8.8</v>
          </cell>
        </row>
        <row r="1564">
          <cell r="M1564" t="str">
            <v>恋爱</v>
          </cell>
        </row>
        <row r="1564">
          <cell r="R1564" t="str">
            <v>吃喝</v>
          </cell>
          <cell r="S1564">
            <v>54</v>
          </cell>
        </row>
        <row r="1565">
          <cell r="M1565" t="str">
            <v>恋爱</v>
          </cell>
        </row>
        <row r="1565">
          <cell r="R1565" t="str">
            <v>吃喝</v>
          </cell>
          <cell r="S1565">
            <v>20</v>
          </cell>
        </row>
        <row r="1566">
          <cell r="M1566" t="str">
            <v>恋爱</v>
          </cell>
        </row>
        <row r="1566">
          <cell r="R1566" t="str">
            <v>吃喝</v>
          </cell>
          <cell r="S1566">
            <v>35</v>
          </cell>
        </row>
        <row r="1567">
          <cell r="M1567" t="str">
            <v>恋爱</v>
          </cell>
        </row>
        <row r="1567">
          <cell r="R1567" t="str">
            <v>吃喝</v>
          </cell>
          <cell r="S1567">
            <v>15</v>
          </cell>
        </row>
        <row r="1568">
          <cell r="M1568" t="str">
            <v>恋爱</v>
          </cell>
        </row>
        <row r="1568">
          <cell r="R1568" t="str">
            <v>吃喝</v>
          </cell>
          <cell r="S1568">
            <v>17.4</v>
          </cell>
        </row>
        <row r="1569">
          <cell r="M1569" t="str">
            <v>恋爱</v>
          </cell>
        </row>
        <row r="1569">
          <cell r="R1569" t="str">
            <v>城内</v>
          </cell>
          <cell r="S1569">
            <v>4.3</v>
          </cell>
        </row>
        <row r="1570">
          <cell r="M1570" t="str">
            <v>恋爱</v>
          </cell>
        </row>
        <row r="1570">
          <cell r="R1570" t="str">
            <v>城内</v>
          </cell>
          <cell r="S1570">
            <v>5.1</v>
          </cell>
        </row>
        <row r="1571">
          <cell r="M1571" t="str">
            <v>恋爱</v>
          </cell>
        </row>
        <row r="1571">
          <cell r="R1571" t="str">
            <v>吃喝</v>
          </cell>
          <cell r="S1571">
            <v>160</v>
          </cell>
        </row>
        <row r="1572">
          <cell r="M1572" t="str">
            <v>恋爱</v>
          </cell>
        </row>
        <row r="1572">
          <cell r="R1572" t="str">
            <v>吃喝</v>
          </cell>
          <cell r="S1572">
            <v>50.5</v>
          </cell>
        </row>
        <row r="1573">
          <cell r="M1573" t="str">
            <v>恋爱</v>
          </cell>
        </row>
        <row r="1573">
          <cell r="R1573" t="str">
            <v>住宿</v>
          </cell>
          <cell r="S1573">
            <v>303</v>
          </cell>
        </row>
        <row r="1574">
          <cell r="M1574" t="str">
            <v>恋爱</v>
          </cell>
        </row>
        <row r="1574">
          <cell r="R1574" t="str">
            <v>城内</v>
          </cell>
          <cell r="S1574">
            <v>4.8</v>
          </cell>
        </row>
        <row r="1575">
          <cell r="M1575" t="str">
            <v>恋爱</v>
          </cell>
        </row>
        <row r="1575">
          <cell r="R1575" t="str">
            <v>城内</v>
          </cell>
          <cell r="S1575">
            <v>22.4</v>
          </cell>
        </row>
        <row r="1576">
          <cell r="M1576" t="str">
            <v>恋爱</v>
          </cell>
        </row>
        <row r="1576">
          <cell r="R1576" t="str">
            <v>城内</v>
          </cell>
          <cell r="S1576">
            <v>10.46</v>
          </cell>
        </row>
        <row r="1577">
          <cell r="M1577" t="str">
            <v>恋爱</v>
          </cell>
        </row>
        <row r="1577">
          <cell r="R1577" t="str">
            <v>吃喝</v>
          </cell>
          <cell r="S1577">
            <v>20</v>
          </cell>
        </row>
        <row r="1578">
          <cell r="M1578" t="str">
            <v>恋爱</v>
          </cell>
        </row>
        <row r="1578">
          <cell r="R1578" t="str">
            <v>城内</v>
          </cell>
          <cell r="S1578">
            <v>10.5</v>
          </cell>
        </row>
        <row r="1579">
          <cell r="M1579" t="str">
            <v>恋爱</v>
          </cell>
        </row>
        <row r="1579">
          <cell r="R1579" t="str">
            <v>吃喝</v>
          </cell>
          <cell r="S1579">
            <v>10</v>
          </cell>
        </row>
        <row r="1580">
          <cell r="M1580" t="str">
            <v>恋爱</v>
          </cell>
        </row>
        <row r="1580">
          <cell r="R1580" t="str">
            <v>城内</v>
          </cell>
          <cell r="S1580">
            <v>11.2</v>
          </cell>
        </row>
        <row r="1581">
          <cell r="M1581" t="str">
            <v>恋爱</v>
          </cell>
        </row>
        <row r="1581">
          <cell r="R1581" t="str">
            <v>吃喝</v>
          </cell>
          <cell r="S1581">
            <v>32.1</v>
          </cell>
        </row>
        <row r="1582">
          <cell r="M1582" t="str">
            <v>恋爱</v>
          </cell>
        </row>
        <row r="1582">
          <cell r="R1582" t="str">
            <v>吃喝</v>
          </cell>
          <cell r="S1582">
            <v>33</v>
          </cell>
        </row>
        <row r="1583">
          <cell r="M1583" t="str">
            <v>恋爱</v>
          </cell>
        </row>
        <row r="1583">
          <cell r="R1583" t="str">
            <v>吃喝</v>
          </cell>
          <cell r="S1583">
            <v>183.5</v>
          </cell>
        </row>
        <row r="1584">
          <cell r="M1584" t="str">
            <v>恋爱</v>
          </cell>
        </row>
        <row r="1584">
          <cell r="R1584" t="str">
            <v>城内</v>
          </cell>
          <cell r="S1584">
            <v>9.07</v>
          </cell>
        </row>
        <row r="1585">
          <cell r="M1585" t="str">
            <v>恋爱</v>
          </cell>
        </row>
        <row r="1585">
          <cell r="R1585" t="str">
            <v>城内</v>
          </cell>
          <cell r="S1585">
            <v>8.8</v>
          </cell>
        </row>
        <row r="1586">
          <cell r="M1586" t="str">
            <v>恋爱</v>
          </cell>
        </row>
        <row r="1586">
          <cell r="R1586" t="str">
            <v>城内</v>
          </cell>
          <cell r="S1586">
            <v>13.1</v>
          </cell>
        </row>
        <row r="1587">
          <cell r="M1587" t="str">
            <v>恋爱</v>
          </cell>
        </row>
        <row r="1587">
          <cell r="R1587" t="str">
            <v>城内</v>
          </cell>
          <cell r="S1587">
            <v>7</v>
          </cell>
        </row>
        <row r="1588">
          <cell r="M1588" t="str">
            <v>恋爱</v>
          </cell>
        </row>
        <row r="1588">
          <cell r="R1588" t="str">
            <v>城际</v>
          </cell>
          <cell r="S1588">
            <v>44.5</v>
          </cell>
        </row>
        <row r="1589">
          <cell r="M1589" t="str">
            <v>日用</v>
          </cell>
        </row>
        <row r="1589">
          <cell r="S1589">
            <v>200</v>
          </cell>
        </row>
        <row r="1590">
          <cell r="M1590" t="str">
            <v>恋爱</v>
          </cell>
        </row>
        <row r="1590">
          <cell r="R1590" t="str">
            <v>吃喝</v>
          </cell>
          <cell r="S1590">
            <v>15</v>
          </cell>
        </row>
        <row r="1591">
          <cell r="M1591" t="str">
            <v>恋爱</v>
          </cell>
        </row>
        <row r="1591">
          <cell r="R1591" t="str">
            <v>城内</v>
          </cell>
          <cell r="S1591">
            <v>66.1</v>
          </cell>
        </row>
        <row r="1592">
          <cell r="M1592" t="str">
            <v>恋爱</v>
          </cell>
        </row>
        <row r="1592">
          <cell r="R1592" t="str">
            <v>城内</v>
          </cell>
          <cell r="S1592">
            <v>10</v>
          </cell>
        </row>
        <row r="1593">
          <cell r="M1593" t="str">
            <v>恋爱</v>
          </cell>
        </row>
        <row r="1593">
          <cell r="R1593" t="str">
            <v>城内</v>
          </cell>
          <cell r="S1593">
            <v>35.4</v>
          </cell>
        </row>
        <row r="1594">
          <cell r="M1594" t="str">
            <v>晚餐</v>
          </cell>
        </row>
        <row r="1594">
          <cell r="S1594">
            <v>12</v>
          </cell>
        </row>
        <row r="1595">
          <cell r="M1595" t="str">
            <v>日用</v>
          </cell>
        </row>
        <row r="1595">
          <cell r="S1595">
            <v>40</v>
          </cell>
        </row>
        <row r="1596">
          <cell r="M1596" t="str">
            <v>小资</v>
          </cell>
        </row>
        <row r="1596">
          <cell r="R1596" t="str">
            <v>吃喝</v>
          </cell>
          <cell r="S1596">
            <v>25.15</v>
          </cell>
        </row>
        <row r="1597">
          <cell r="M1597" t="str">
            <v>出行</v>
          </cell>
        </row>
        <row r="1597">
          <cell r="S1597">
            <v>19.9</v>
          </cell>
        </row>
        <row r="1598">
          <cell r="M1598" t="str">
            <v>话费</v>
          </cell>
        </row>
        <row r="1598">
          <cell r="S1598">
            <v>100</v>
          </cell>
        </row>
        <row r="1599">
          <cell r="M1599" t="str">
            <v>晚餐</v>
          </cell>
        </row>
        <row r="1599">
          <cell r="S1599">
            <v>15</v>
          </cell>
        </row>
        <row r="1600">
          <cell r="M1600" t="str">
            <v>早餐</v>
          </cell>
        </row>
        <row r="1600">
          <cell r="S1600">
            <v>2</v>
          </cell>
        </row>
        <row r="1601">
          <cell r="M1601" t="str">
            <v>日用</v>
          </cell>
        </row>
        <row r="1601">
          <cell r="S1601">
            <v>2</v>
          </cell>
        </row>
        <row r="1602">
          <cell r="M1602" t="str">
            <v>房租</v>
          </cell>
        </row>
        <row r="1602">
          <cell r="S1602">
            <v>430</v>
          </cell>
        </row>
        <row r="1603">
          <cell r="M1603" t="str">
            <v>晚餐</v>
          </cell>
        </row>
        <row r="1603">
          <cell r="S1603">
            <v>4</v>
          </cell>
        </row>
        <row r="1604">
          <cell r="M1604" t="str">
            <v>会员</v>
          </cell>
        </row>
        <row r="1604">
          <cell r="S1604">
            <v>19</v>
          </cell>
        </row>
        <row r="1605">
          <cell r="M1605" t="str">
            <v>晚餐</v>
          </cell>
        </row>
        <row r="1605">
          <cell r="S1605">
            <v>15</v>
          </cell>
        </row>
        <row r="1606">
          <cell r="M1606" t="str">
            <v>小资</v>
          </cell>
        </row>
        <row r="1606">
          <cell r="R1606" t="str">
            <v>吃喝</v>
          </cell>
          <cell r="S1606">
            <v>10</v>
          </cell>
        </row>
        <row r="1607">
          <cell r="M1607" t="str">
            <v>孝敬</v>
          </cell>
        </row>
        <row r="1607">
          <cell r="S1607">
            <v>500.5</v>
          </cell>
        </row>
        <row r="1608">
          <cell r="M1608" t="str">
            <v>晚餐</v>
          </cell>
        </row>
        <row r="1608">
          <cell r="S1608">
            <v>50</v>
          </cell>
        </row>
        <row r="1609">
          <cell r="M1609" t="str">
            <v>日用</v>
          </cell>
        </row>
        <row r="1609">
          <cell r="S1609">
            <v>26.9</v>
          </cell>
        </row>
        <row r="1610">
          <cell r="M1610" t="str">
            <v>出行</v>
          </cell>
        </row>
        <row r="1610">
          <cell r="S1610">
            <v>18.7</v>
          </cell>
        </row>
        <row r="1611">
          <cell r="M1611" t="str">
            <v>话费</v>
          </cell>
        </row>
        <row r="1611">
          <cell r="S1611">
            <v>50</v>
          </cell>
        </row>
        <row r="1612">
          <cell r="M1612" t="str">
            <v>小资</v>
          </cell>
        </row>
        <row r="1612">
          <cell r="R1612" t="str">
            <v>吃喝</v>
          </cell>
          <cell r="S1612">
            <v>15</v>
          </cell>
        </row>
        <row r="1613">
          <cell r="M1613" t="str">
            <v>小资</v>
          </cell>
        </row>
        <row r="1613">
          <cell r="R1613" t="str">
            <v>吃喝</v>
          </cell>
          <cell r="S1613">
            <v>9</v>
          </cell>
        </row>
        <row r="1614">
          <cell r="M1614" t="str">
            <v>出行</v>
          </cell>
        </row>
        <row r="1614">
          <cell r="S1614">
            <v>18.2</v>
          </cell>
        </row>
        <row r="1615">
          <cell r="M1615" t="str">
            <v>社交</v>
          </cell>
        </row>
        <row r="1615">
          <cell r="S1615">
            <v>10.8</v>
          </cell>
        </row>
        <row r="1616">
          <cell r="M1616" t="str">
            <v>话费</v>
          </cell>
        </row>
        <row r="1616">
          <cell r="S1616">
            <v>50</v>
          </cell>
        </row>
        <row r="1617">
          <cell r="M1617" t="str">
            <v>话费</v>
          </cell>
        </row>
        <row r="1617">
          <cell r="S1617">
            <v>-40</v>
          </cell>
        </row>
        <row r="1618">
          <cell r="M1618" t="str">
            <v>话费</v>
          </cell>
        </row>
        <row r="1618">
          <cell r="S1618">
            <v>50</v>
          </cell>
        </row>
        <row r="1619">
          <cell r="M1619" t="str">
            <v>日用</v>
          </cell>
        </row>
        <row r="1619">
          <cell r="S1619">
            <v>5</v>
          </cell>
        </row>
        <row r="1620">
          <cell r="M1620" t="str">
            <v>日用</v>
          </cell>
        </row>
        <row r="1620">
          <cell r="S1620">
            <v>6</v>
          </cell>
        </row>
        <row r="1621">
          <cell r="M1621" t="str">
            <v>日用</v>
          </cell>
        </row>
        <row r="1621">
          <cell r="S1621">
            <v>3</v>
          </cell>
        </row>
        <row r="1622">
          <cell r="M1622" t="str">
            <v>日用</v>
          </cell>
        </row>
        <row r="1622">
          <cell r="S1622">
            <v>14</v>
          </cell>
        </row>
        <row r="1623">
          <cell r="M1623" t="str">
            <v>日用</v>
          </cell>
        </row>
        <row r="1623">
          <cell r="S1623">
            <v>102</v>
          </cell>
        </row>
        <row r="1624">
          <cell r="M1624" t="str">
            <v>日用</v>
          </cell>
        </row>
        <row r="1624">
          <cell r="S1624">
            <v>10</v>
          </cell>
        </row>
        <row r="1625">
          <cell r="M1625" t="str">
            <v>会员</v>
          </cell>
        </row>
        <row r="1625">
          <cell r="S1625">
            <v>15</v>
          </cell>
        </row>
        <row r="1626">
          <cell r="M1626" t="str">
            <v>会员</v>
          </cell>
        </row>
        <row r="1626">
          <cell r="S1626">
            <v>15</v>
          </cell>
        </row>
        <row r="1627">
          <cell r="M1627" t="str">
            <v>日用</v>
          </cell>
        </row>
        <row r="1627">
          <cell r="S1627">
            <v>2</v>
          </cell>
        </row>
        <row r="1628">
          <cell r="M1628" t="str">
            <v>晚餐</v>
          </cell>
        </row>
        <row r="1628">
          <cell r="S1628">
            <v>15</v>
          </cell>
        </row>
        <row r="1629">
          <cell r="M1629" t="str">
            <v>小资</v>
          </cell>
        </row>
        <row r="1629">
          <cell r="R1629" t="str">
            <v>吃喝</v>
          </cell>
          <cell r="S1629">
            <v>3</v>
          </cell>
        </row>
        <row r="1630">
          <cell r="M1630" t="str">
            <v>课程</v>
          </cell>
        </row>
        <row r="1630">
          <cell r="S1630">
            <v>8.82</v>
          </cell>
        </row>
        <row r="1631">
          <cell r="M1631" t="str">
            <v>课程</v>
          </cell>
        </row>
        <row r="1631">
          <cell r="S1631">
            <v>8.82</v>
          </cell>
        </row>
        <row r="1632">
          <cell r="M1632" t="str">
            <v>课程</v>
          </cell>
        </row>
        <row r="1632">
          <cell r="S1632">
            <v>7</v>
          </cell>
        </row>
        <row r="1633">
          <cell r="M1633" t="str">
            <v>日用</v>
          </cell>
        </row>
        <row r="1633">
          <cell r="S1633">
            <v>12</v>
          </cell>
        </row>
        <row r="1634">
          <cell r="M1634" t="str">
            <v>水费</v>
          </cell>
        </row>
        <row r="1634">
          <cell r="S1634">
            <v>9</v>
          </cell>
        </row>
        <row r="1635">
          <cell r="M1635" t="str">
            <v>副入</v>
          </cell>
        </row>
        <row r="1635">
          <cell r="S1635">
            <v>-300</v>
          </cell>
        </row>
        <row r="1636">
          <cell r="M1636" t="str">
            <v>小资</v>
          </cell>
        </row>
        <row r="1636">
          <cell r="R1636" t="str">
            <v>吃喝</v>
          </cell>
          <cell r="S1636">
            <v>77</v>
          </cell>
        </row>
        <row r="1637">
          <cell r="M1637" t="str">
            <v>小资</v>
          </cell>
        </row>
        <row r="1637">
          <cell r="R1637" t="str">
            <v>吃喝</v>
          </cell>
          <cell r="S1637">
            <v>4</v>
          </cell>
        </row>
        <row r="1638">
          <cell r="M1638" t="str">
            <v>小资</v>
          </cell>
        </row>
        <row r="1638">
          <cell r="R1638" t="str">
            <v>吃喝</v>
          </cell>
          <cell r="S1638">
            <v>46</v>
          </cell>
        </row>
        <row r="1639">
          <cell r="M1639" t="str">
            <v>出行</v>
          </cell>
        </row>
        <row r="1639">
          <cell r="S1639">
            <v>22.4</v>
          </cell>
        </row>
        <row r="1640">
          <cell r="M1640" t="str">
            <v>晚餐</v>
          </cell>
        </row>
        <row r="1640">
          <cell r="S1640">
            <v>15</v>
          </cell>
        </row>
        <row r="1641">
          <cell r="M1641" t="str">
            <v>出行</v>
          </cell>
        </row>
        <row r="1641">
          <cell r="S1641">
            <v>20.8</v>
          </cell>
        </row>
        <row r="1642">
          <cell r="M1642" t="str">
            <v>小资</v>
          </cell>
        </row>
        <row r="1642">
          <cell r="R1642" t="str">
            <v>吃喝</v>
          </cell>
          <cell r="S1642">
            <v>55.8</v>
          </cell>
        </row>
        <row r="1643">
          <cell r="M1643" t="str">
            <v>小资</v>
          </cell>
        </row>
        <row r="1643">
          <cell r="R1643" t="str">
            <v>吃喝</v>
          </cell>
          <cell r="S1643">
            <v>25.92</v>
          </cell>
        </row>
        <row r="1644">
          <cell r="M1644" t="str">
            <v>小资</v>
          </cell>
        </row>
        <row r="1644">
          <cell r="R1644" t="str">
            <v>吃喝</v>
          </cell>
          <cell r="S1644">
            <v>23.47</v>
          </cell>
        </row>
        <row r="1645">
          <cell r="M1645" t="str">
            <v>小资</v>
          </cell>
        </row>
        <row r="1645">
          <cell r="R1645" t="str">
            <v>吃喝</v>
          </cell>
          <cell r="S1645">
            <v>25.4</v>
          </cell>
        </row>
        <row r="1646">
          <cell r="M1646" t="str">
            <v>小资</v>
          </cell>
        </row>
        <row r="1646">
          <cell r="R1646" t="str">
            <v>吃喝</v>
          </cell>
          <cell r="S1646">
            <v>43.2</v>
          </cell>
        </row>
        <row r="1647">
          <cell r="M1647" t="str">
            <v>晚餐</v>
          </cell>
        </row>
        <row r="1647">
          <cell r="S1647">
            <v>30</v>
          </cell>
        </row>
        <row r="1648">
          <cell r="M1648" t="str">
            <v>恋爱</v>
          </cell>
        </row>
        <row r="1648">
          <cell r="R1648" t="str">
            <v>礼物</v>
          </cell>
          <cell r="S1648">
            <v>520</v>
          </cell>
        </row>
        <row r="1649">
          <cell r="M1649" t="str">
            <v>会员</v>
          </cell>
        </row>
        <row r="1649">
          <cell r="S1649">
            <v>8</v>
          </cell>
        </row>
        <row r="1650">
          <cell r="M1650" t="str">
            <v>日用</v>
          </cell>
        </row>
        <row r="1650">
          <cell r="S1650">
            <v>2</v>
          </cell>
        </row>
        <row r="1651">
          <cell r="M1651" t="str">
            <v>小资</v>
          </cell>
        </row>
        <row r="1651">
          <cell r="R1651" t="str">
            <v>吃喝</v>
          </cell>
          <cell r="S1651">
            <v>5</v>
          </cell>
        </row>
        <row r="1652">
          <cell r="M1652" t="str">
            <v>课程</v>
          </cell>
        </row>
        <row r="1652">
          <cell r="S1652">
            <v>39.9</v>
          </cell>
        </row>
        <row r="1653">
          <cell r="M1653" t="str">
            <v>日用</v>
          </cell>
        </row>
        <row r="1653">
          <cell r="S1653">
            <v>1.56</v>
          </cell>
        </row>
        <row r="1654">
          <cell r="M1654" t="str">
            <v>日用</v>
          </cell>
        </row>
        <row r="1654">
          <cell r="S1654">
            <v>4</v>
          </cell>
        </row>
        <row r="1655">
          <cell r="M1655" t="str">
            <v>日用</v>
          </cell>
        </row>
        <row r="1655">
          <cell r="S1655">
            <v>4</v>
          </cell>
        </row>
        <row r="1656">
          <cell r="M1656" t="str">
            <v>日用</v>
          </cell>
        </row>
        <row r="1656">
          <cell r="S1656">
            <v>9.9</v>
          </cell>
        </row>
        <row r="1657">
          <cell r="M1657" t="str">
            <v>晚餐</v>
          </cell>
        </row>
        <row r="1657">
          <cell r="S1657">
            <v>15</v>
          </cell>
        </row>
        <row r="1658">
          <cell r="M1658" t="str">
            <v>小资</v>
          </cell>
        </row>
        <row r="1658">
          <cell r="R1658" t="str">
            <v>吃喝</v>
          </cell>
          <cell r="S1658">
            <v>20</v>
          </cell>
        </row>
        <row r="1659">
          <cell r="M1659" t="str">
            <v>小资</v>
          </cell>
        </row>
        <row r="1659">
          <cell r="R1659" t="str">
            <v>吃喝</v>
          </cell>
          <cell r="S1659">
            <v>15</v>
          </cell>
        </row>
        <row r="1660">
          <cell r="M1660" t="str">
            <v>小资</v>
          </cell>
        </row>
        <row r="1660">
          <cell r="R1660" t="str">
            <v>吃喝</v>
          </cell>
          <cell r="S1660">
            <v>27</v>
          </cell>
        </row>
        <row r="1661">
          <cell r="M1661" t="str">
            <v>小资</v>
          </cell>
        </row>
        <row r="1661">
          <cell r="R1661" t="str">
            <v>游玩</v>
          </cell>
          <cell r="S1661">
            <v>80</v>
          </cell>
        </row>
        <row r="1662">
          <cell r="M1662" t="str">
            <v>小资</v>
          </cell>
        </row>
        <row r="1662">
          <cell r="R1662" t="str">
            <v>城内</v>
          </cell>
          <cell r="S1662">
            <v>22</v>
          </cell>
        </row>
        <row r="1663">
          <cell r="M1663" t="str">
            <v>晚餐</v>
          </cell>
        </row>
        <row r="1663">
          <cell r="S1663">
            <v>11</v>
          </cell>
        </row>
        <row r="1664">
          <cell r="M1664" t="str">
            <v>小资</v>
          </cell>
        </row>
        <row r="1664">
          <cell r="R1664" t="str">
            <v>吃喝</v>
          </cell>
          <cell r="S1664">
            <v>12</v>
          </cell>
        </row>
        <row r="1665">
          <cell r="M1665" t="str">
            <v>小资</v>
          </cell>
        </row>
        <row r="1665">
          <cell r="R1665" t="str">
            <v>城内</v>
          </cell>
          <cell r="S1665">
            <v>13.59</v>
          </cell>
        </row>
        <row r="1666">
          <cell r="M1666" t="str">
            <v>日用</v>
          </cell>
        </row>
        <row r="1666">
          <cell r="S1666">
            <v>2</v>
          </cell>
        </row>
        <row r="1667">
          <cell r="M1667" t="str">
            <v>会员</v>
          </cell>
        </row>
        <row r="1667">
          <cell r="S1667">
            <v>15</v>
          </cell>
        </row>
        <row r="1668">
          <cell r="M1668" t="str">
            <v>话费</v>
          </cell>
        </row>
        <row r="1668">
          <cell r="S1668">
            <v>30</v>
          </cell>
        </row>
        <row r="1669">
          <cell r="M1669" t="str">
            <v>工资</v>
          </cell>
        </row>
        <row r="1669">
          <cell r="S1669">
            <v>-20000</v>
          </cell>
        </row>
        <row r="1670">
          <cell r="M1670" t="str">
            <v>个人还款</v>
          </cell>
        </row>
        <row r="1670">
          <cell r="R1670" t="str">
            <v>老母亲</v>
          </cell>
          <cell r="S1670">
            <v>10000</v>
          </cell>
        </row>
        <row r="1671">
          <cell r="M1671" t="str">
            <v>恋爱</v>
          </cell>
        </row>
        <row r="1671">
          <cell r="R1671" t="str">
            <v>城际</v>
          </cell>
          <cell r="S1671">
            <v>770</v>
          </cell>
        </row>
        <row r="1672">
          <cell r="M1672" t="str">
            <v>个人还款</v>
          </cell>
        </row>
        <row r="1672">
          <cell r="R1672" t="str">
            <v>谢圆圆</v>
          </cell>
          <cell r="S1672">
            <v>5000</v>
          </cell>
        </row>
        <row r="1673">
          <cell r="M1673" t="str">
            <v>恋爱</v>
          </cell>
        </row>
        <row r="1673">
          <cell r="R1673" t="str">
            <v>药品</v>
          </cell>
          <cell r="S1673">
            <v>51.3</v>
          </cell>
        </row>
        <row r="1674">
          <cell r="M1674" t="str">
            <v>工资</v>
          </cell>
        </row>
        <row r="1674">
          <cell r="S1674">
            <v>150</v>
          </cell>
        </row>
        <row r="1675">
          <cell r="M1675" t="str">
            <v>工资</v>
          </cell>
        </row>
        <row r="1675">
          <cell r="S1675">
            <v>150</v>
          </cell>
        </row>
        <row r="1676">
          <cell r="M1676" t="str">
            <v>社交</v>
          </cell>
        </row>
        <row r="1676">
          <cell r="S1676">
            <v>218</v>
          </cell>
        </row>
        <row r="1677">
          <cell r="M1677" t="str">
            <v>个人还款</v>
          </cell>
        </row>
        <row r="1677">
          <cell r="R1677" t="str">
            <v>谢圆圆</v>
          </cell>
          <cell r="S1677">
            <v>-5000</v>
          </cell>
        </row>
        <row r="1678">
          <cell r="M1678" t="str">
            <v>工资</v>
          </cell>
        </row>
        <row r="1678">
          <cell r="S1678">
            <v>-2000</v>
          </cell>
        </row>
        <row r="1679">
          <cell r="M1679" t="str">
            <v>话费</v>
          </cell>
        </row>
        <row r="1679">
          <cell r="S1679">
            <v>50</v>
          </cell>
        </row>
        <row r="1680">
          <cell r="M1680" t="str">
            <v>保山</v>
          </cell>
        </row>
        <row r="1680">
          <cell r="S1680">
            <v>94</v>
          </cell>
        </row>
        <row r="1681">
          <cell r="M1681" t="str">
            <v>房租</v>
          </cell>
        </row>
        <row r="1681">
          <cell r="S1681">
            <v>430</v>
          </cell>
        </row>
        <row r="1682">
          <cell r="M1682" t="str">
            <v>小资</v>
          </cell>
        </row>
        <row r="1682">
          <cell r="R1682" t="str">
            <v>城内</v>
          </cell>
          <cell r="S1682">
            <v>20</v>
          </cell>
        </row>
        <row r="1683">
          <cell r="M1683" t="str">
            <v>社交</v>
          </cell>
        </row>
        <row r="1683">
          <cell r="S1683">
            <v>20</v>
          </cell>
        </row>
        <row r="1684">
          <cell r="M1684" t="str">
            <v>社交</v>
          </cell>
        </row>
        <row r="1684">
          <cell r="S1684">
            <v>127</v>
          </cell>
        </row>
        <row r="1685">
          <cell r="M1685" t="str">
            <v>恋爱</v>
          </cell>
        </row>
        <row r="1685">
          <cell r="R1685" t="str">
            <v>礼物</v>
          </cell>
          <cell r="S1685">
            <v>227</v>
          </cell>
        </row>
        <row r="1686">
          <cell r="M1686" t="str">
            <v>日用</v>
          </cell>
        </row>
        <row r="1686">
          <cell r="S1686">
            <v>2</v>
          </cell>
        </row>
        <row r="1687">
          <cell r="M1687" t="str">
            <v>社交</v>
          </cell>
        </row>
        <row r="1687">
          <cell r="S1687">
            <v>35.7</v>
          </cell>
        </row>
        <row r="1688">
          <cell r="M1688" t="str">
            <v>会员</v>
          </cell>
        </row>
        <row r="1688">
          <cell r="S1688">
            <v>25</v>
          </cell>
        </row>
        <row r="1689">
          <cell r="M1689" t="str">
            <v>会员</v>
          </cell>
        </row>
        <row r="1689">
          <cell r="S1689">
            <v>6</v>
          </cell>
        </row>
        <row r="1690">
          <cell r="M1690" t="str">
            <v>恋爱</v>
          </cell>
        </row>
        <row r="1690">
          <cell r="R1690" t="str">
            <v>城际</v>
          </cell>
          <cell r="S1690">
            <v>140</v>
          </cell>
        </row>
        <row r="1691">
          <cell r="M1691" t="str">
            <v>恋爱</v>
          </cell>
        </row>
        <row r="1691">
          <cell r="R1691" t="str">
            <v>吃喝</v>
          </cell>
          <cell r="S1691">
            <v>48</v>
          </cell>
        </row>
        <row r="1692">
          <cell r="M1692" t="str">
            <v>会员</v>
          </cell>
        </row>
        <row r="1692">
          <cell r="S1692">
            <v>19</v>
          </cell>
        </row>
        <row r="1693">
          <cell r="M1693" t="str">
            <v>恋爱</v>
          </cell>
        </row>
        <row r="1693">
          <cell r="R1693" t="str">
            <v>吃喝</v>
          </cell>
          <cell r="S1693">
            <v>40</v>
          </cell>
        </row>
        <row r="1694">
          <cell r="M1694" t="str">
            <v>恋爱</v>
          </cell>
        </row>
        <row r="1694">
          <cell r="R1694" t="str">
            <v>药品</v>
          </cell>
          <cell r="S1694">
            <v>130.6</v>
          </cell>
        </row>
        <row r="1695">
          <cell r="M1695" t="str">
            <v>恋爱</v>
          </cell>
        </row>
        <row r="1695">
          <cell r="R1695" t="str">
            <v>吃喝</v>
          </cell>
          <cell r="S1695">
            <v>247</v>
          </cell>
        </row>
        <row r="1696">
          <cell r="M1696" t="str">
            <v>恋爱</v>
          </cell>
        </row>
        <row r="1696">
          <cell r="R1696" t="str">
            <v>吃喝</v>
          </cell>
          <cell r="S1696">
            <v>39.6</v>
          </cell>
        </row>
        <row r="1697">
          <cell r="M1697" t="str">
            <v>恋爱</v>
          </cell>
        </row>
        <row r="1697">
          <cell r="R1697" t="str">
            <v>吃喝</v>
          </cell>
          <cell r="S1697">
            <v>76</v>
          </cell>
        </row>
        <row r="1698">
          <cell r="M1698" t="str">
            <v>恋爱</v>
          </cell>
        </row>
        <row r="1698">
          <cell r="R1698" t="str">
            <v>吃喝</v>
          </cell>
          <cell r="S1698">
            <v>501.62</v>
          </cell>
        </row>
        <row r="1699">
          <cell r="M1699" t="str">
            <v>恋爱</v>
          </cell>
        </row>
        <row r="1699">
          <cell r="R1699" t="str">
            <v>吃喝</v>
          </cell>
          <cell r="S1699">
            <v>25</v>
          </cell>
        </row>
        <row r="1700">
          <cell r="M1700" t="str">
            <v>恋爱</v>
          </cell>
        </row>
        <row r="1700">
          <cell r="R1700" t="str">
            <v>吃喝</v>
          </cell>
          <cell r="S1700">
            <v>4</v>
          </cell>
        </row>
        <row r="1701">
          <cell r="M1701" t="str">
            <v>恋爱</v>
          </cell>
        </row>
        <row r="1701">
          <cell r="R1701" t="str">
            <v>城际</v>
          </cell>
          <cell r="S1701">
            <v>599</v>
          </cell>
        </row>
        <row r="1702">
          <cell r="M1702" t="str">
            <v>话费</v>
          </cell>
        </row>
        <row r="1702">
          <cell r="S1702">
            <v>30</v>
          </cell>
        </row>
        <row r="1703">
          <cell r="M1703" t="str">
            <v>话费</v>
          </cell>
        </row>
        <row r="1703">
          <cell r="S1703">
            <v>10</v>
          </cell>
        </row>
        <row r="1704">
          <cell r="M1704" t="str">
            <v>恋爱</v>
          </cell>
        </row>
        <row r="1704">
          <cell r="R1704" t="str">
            <v>吃喝</v>
          </cell>
          <cell r="S1704">
            <v>91.96</v>
          </cell>
        </row>
        <row r="1705">
          <cell r="M1705" t="str">
            <v>恋爱</v>
          </cell>
        </row>
        <row r="1705">
          <cell r="R1705" t="str">
            <v>城际</v>
          </cell>
          <cell r="S1705">
            <v>341</v>
          </cell>
        </row>
        <row r="1706">
          <cell r="M1706" t="str">
            <v>恋爱</v>
          </cell>
        </row>
        <row r="1706">
          <cell r="R1706" t="str">
            <v>城际</v>
          </cell>
          <cell r="S1706">
            <v>-5</v>
          </cell>
        </row>
        <row r="1707">
          <cell r="M1707" t="str">
            <v>小资</v>
          </cell>
        </row>
        <row r="1707">
          <cell r="R1707" t="str">
            <v>游玩</v>
          </cell>
          <cell r="S1707">
            <v>39.9</v>
          </cell>
        </row>
        <row r="1708">
          <cell r="M1708" t="str">
            <v>恋爱</v>
          </cell>
        </row>
        <row r="1708">
          <cell r="R1708" t="str">
            <v>电影</v>
          </cell>
          <cell r="S1708">
            <v>109.8</v>
          </cell>
        </row>
        <row r="1709">
          <cell r="M1709" t="str">
            <v>恋爱</v>
          </cell>
        </row>
        <row r="1709">
          <cell r="R1709" t="str">
            <v>吃喝</v>
          </cell>
          <cell r="S1709">
            <v>27.5</v>
          </cell>
        </row>
        <row r="1710">
          <cell r="M1710" t="str">
            <v>恋爱</v>
          </cell>
        </row>
        <row r="1710">
          <cell r="R1710" t="str">
            <v>城内</v>
          </cell>
          <cell r="S1710">
            <v>22.11</v>
          </cell>
        </row>
        <row r="1711">
          <cell r="M1711" t="str">
            <v>恋爱</v>
          </cell>
        </row>
        <row r="1711">
          <cell r="R1711" t="str">
            <v>吃喝</v>
          </cell>
          <cell r="S1711">
            <v>128</v>
          </cell>
        </row>
        <row r="1712">
          <cell r="M1712" t="str">
            <v>恋爱</v>
          </cell>
        </row>
        <row r="1712">
          <cell r="R1712" t="str">
            <v>吃喝</v>
          </cell>
          <cell r="S1712">
            <v>25</v>
          </cell>
        </row>
        <row r="1713">
          <cell r="M1713" t="str">
            <v>恋爱</v>
          </cell>
        </row>
        <row r="1713">
          <cell r="R1713" t="str">
            <v>吃喝</v>
          </cell>
          <cell r="S1713">
            <v>23.59</v>
          </cell>
        </row>
        <row r="1714">
          <cell r="M1714" t="str">
            <v>恋爱</v>
          </cell>
        </row>
        <row r="1714">
          <cell r="R1714" t="str">
            <v>吃喝</v>
          </cell>
          <cell r="S1714">
            <v>-0.32</v>
          </cell>
        </row>
        <row r="1715">
          <cell r="M1715" t="str">
            <v>恋爱</v>
          </cell>
        </row>
        <row r="1715">
          <cell r="R1715" t="str">
            <v>吃喝</v>
          </cell>
          <cell r="S1715">
            <v>12</v>
          </cell>
        </row>
        <row r="1716">
          <cell r="M1716" t="str">
            <v>恋爱</v>
          </cell>
        </row>
        <row r="1716">
          <cell r="R1716" t="str">
            <v>吃喝</v>
          </cell>
          <cell r="S1716">
            <v>10</v>
          </cell>
        </row>
        <row r="1717">
          <cell r="M1717" t="str">
            <v>恋爱</v>
          </cell>
        </row>
        <row r="1717">
          <cell r="R1717" t="str">
            <v>城内</v>
          </cell>
          <cell r="S1717">
            <v>19.01</v>
          </cell>
        </row>
        <row r="1718">
          <cell r="M1718" t="str">
            <v>恋爱</v>
          </cell>
        </row>
        <row r="1718">
          <cell r="R1718" t="str">
            <v>吃喝</v>
          </cell>
          <cell r="S1718">
            <v>7.9</v>
          </cell>
        </row>
        <row r="1719">
          <cell r="M1719" t="str">
            <v>恋爱</v>
          </cell>
        </row>
        <row r="1719">
          <cell r="R1719" t="str">
            <v>吃喝</v>
          </cell>
          <cell r="S1719">
            <v>17</v>
          </cell>
        </row>
        <row r="1720">
          <cell r="M1720" t="str">
            <v>日用</v>
          </cell>
        </row>
        <row r="1720">
          <cell r="S1720">
            <v>200</v>
          </cell>
        </row>
        <row r="1721">
          <cell r="M1721" t="str">
            <v>日用</v>
          </cell>
        </row>
        <row r="1721">
          <cell r="S1721">
            <v>232.2</v>
          </cell>
        </row>
        <row r="1722">
          <cell r="M1722" t="str">
            <v>恋爱</v>
          </cell>
        </row>
        <row r="1722">
          <cell r="R1722" t="str">
            <v>城际</v>
          </cell>
          <cell r="S1722">
            <v>120</v>
          </cell>
        </row>
        <row r="1723">
          <cell r="M1723" t="str">
            <v>小资</v>
          </cell>
        </row>
        <row r="1723">
          <cell r="R1723" t="str">
            <v>吃喝</v>
          </cell>
          <cell r="S1723">
            <v>20</v>
          </cell>
        </row>
        <row r="1724">
          <cell r="M1724" t="str">
            <v>小资</v>
          </cell>
        </row>
        <row r="1724">
          <cell r="R1724" t="str">
            <v>吃喝</v>
          </cell>
          <cell r="S1724">
            <v>44</v>
          </cell>
        </row>
        <row r="1725">
          <cell r="M1725" t="str">
            <v>恋爱</v>
          </cell>
        </row>
        <row r="1725">
          <cell r="R1725" t="str">
            <v>城内</v>
          </cell>
          <cell r="S1725">
            <v>18.86</v>
          </cell>
        </row>
        <row r="1726">
          <cell r="M1726" t="str">
            <v>日用</v>
          </cell>
        </row>
        <row r="1726">
          <cell r="S1726">
            <v>80.82</v>
          </cell>
        </row>
        <row r="1727">
          <cell r="M1727" t="str">
            <v>日用</v>
          </cell>
        </row>
        <row r="1727">
          <cell r="S1727">
            <v>-200</v>
          </cell>
        </row>
        <row r="1728">
          <cell r="M1728" t="str">
            <v>日用</v>
          </cell>
        </row>
        <row r="1728">
          <cell r="S1728">
            <v>34.61</v>
          </cell>
        </row>
        <row r="1729">
          <cell r="M1729" t="str">
            <v>日用</v>
          </cell>
        </row>
        <row r="1729">
          <cell r="S1729">
            <v>4.17</v>
          </cell>
        </row>
        <row r="1730">
          <cell r="M1730" t="str">
            <v>课程</v>
          </cell>
        </row>
        <row r="1730">
          <cell r="S1730">
            <v>20</v>
          </cell>
        </row>
        <row r="1731">
          <cell r="M1731" t="str">
            <v>会员</v>
          </cell>
        </row>
        <row r="1731">
          <cell r="S1731">
            <v>15</v>
          </cell>
        </row>
        <row r="1732">
          <cell r="M1732" t="str">
            <v>课程</v>
          </cell>
        </row>
        <row r="1732">
          <cell r="S1732">
            <v>38</v>
          </cell>
        </row>
        <row r="1733">
          <cell r="M1733" t="str">
            <v>晚餐</v>
          </cell>
        </row>
        <row r="1733">
          <cell r="S1733">
            <v>35</v>
          </cell>
        </row>
        <row r="1734">
          <cell r="M1734" t="str">
            <v>日用</v>
          </cell>
        </row>
        <row r="1734">
          <cell r="S1734">
            <v>25</v>
          </cell>
        </row>
        <row r="1735">
          <cell r="M1735" t="str">
            <v>日用</v>
          </cell>
        </row>
        <row r="1735">
          <cell r="S1735">
            <v>145</v>
          </cell>
        </row>
        <row r="1736">
          <cell r="M1736" t="str">
            <v>会员</v>
          </cell>
        </row>
        <row r="1736">
          <cell r="S1736">
            <v>15</v>
          </cell>
        </row>
        <row r="1737">
          <cell r="M1737" t="str">
            <v>日用</v>
          </cell>
        </row>
        <row r="1737">
          <cell r="S1737">
            <v>54.91</v>
          </cell>
        </row>
        <row r="1738">
          <cell r="M1738" t="str">
            <v>日用</v>
          </cell>
        </row>
        <row r="1738">
          <cell r="S1738">
            <v>4</v>
          </cell>
        </row>
        <row r="1739">
          <cell r="M1739" t="str">
            <v>日用</v>
          </cell>
        </row>
        <row r="1739">
          <cell r="S1739">
            <v>4</v>
          </cell>
        </row>
        <row r="1740">
          <cell r="M1740" t="str">
            <v>小资</v>
          </cell>
        </row>
        <row r="1740">
          <cell r="R1740" t="str">
            <v>吃喝</v>
          </cell>
          <cell r="S1740">
            <v>83.7</v>
          </cell>
        </row>
        <row r="1741">
          <cell r="M1741" t="str">
            <v>话费</v>
          </cell>
        </row>
        <row r="1741">
          <cell r="S1741">
            <v>-40</v>
          </cell>
        </row>
        <row r="1742">
          <cell r="M1742" t="str">
            <v>话费</v>
          </cell>
        </row>
        <row r="1742">
          <cell r="S1742">
            <v>50</v>
          </cell>
        </row>
        <row r="1743">
          <cell r="M1743" t="str">
            <v>早餐</v>
          </cell>
        </row>
        <row r="1743">
          <cell r="S1743">
            <v>2</v>
          </cell>
        </row>
        <row r="1744">
          <cell r="M1744" t="str">
            <v>话费</v>
          </cell>
        </row>
        <row r="1744">
          <cell r="S1744">
            <v>50</v>
          </cell>
        </row>
        <row r="1745">
          <cell r="M1745" t="str">
            <v>日用</v>
          </cell>
        </row>
        <row r="1745">
          <cell r="S1745">
            <v>41.6</v>
          </cell>
        </row>
        <row r="1746">
          <cell r="M1746" t="str">
            <v>日用</v>
          </cell>
        </row>
        <row r="1746">
          <cell r="S1746">
            <v>13.4</v>
          </cell>
        </row>
        <row r="1747">
          <cell r="M1747" t="str">
            <v>日用</v>
          </cell>
        </row>
        <row r="1747">
          <cell r="S1747">
            <v>-80.82</v>
          </cell>
        </row>
        <row r="1748">
          <cell r="M1748" t="str">
            <v>日用</v>
          </cell>
        </row>
        <row r="1748">
          <cell r="S1748">
            <v>4</v>
          </cell>
        </row>
        <row r="1749">
          <cell r="M1749" t="str">
            <v>早餐</v>
          </cell>
        </row>
        <row r="1749">
          <cell r="S1749">
            <v>11</v>
          </cell>
        </row>
        <row r="1750">
          <cell r="M1750" t="str">
            <v>日用</v>
          </cell>
        </row>
        <row r="1750">
          <cell r="S1750">
            <v>59.9</v>
          </cell>
        </row>
        <row r="1751">
          <cell r="M1751" t="str">
            <v>日用</v>
          </cell>
        </row>
        <row r="1751">
          <cell r="S1751">
            <v>32.5</v>
          </cell>
        </row>
        <row r="1752">
          <cell r="M1752" t="str">
            <v>话费</v>
          </cell>
        </row>
        <row r="1752">
          <cell r="S1752">
            <v>10</v>
          </cell>
        </row>
        <row r="1753">
          <cell r="M1753" t="str">
            <v>社交</v>
          </cell>
        </row>
        <row r="1753">
          <cell r="S1753">
            <v>19</v>
          </cell>
        </row>
        <row r="1754">
          <cell r="M1754" t="str">
            <v>社交</v>
          </cell>
        </row>
        <row r="1754">
          <cell r="S1754">
            <v>6</v>
          </cell>
        </row>
        <row r="1755">
          <cell r="M1755" t="str">
            <v>日用</v>
          </cell>
        </row>
        <row r="1755">
          <cell r="S1755">
            <v>25</v>
          </cell>
        </row>
        <row r="1756">
          <cell r="M1756" t="str">
            <v>日用</v>
          </cell>
        </row>
        <row r="1756">
          <cell r="S1756">
            <v>-4</v>
          </cell>
        </row>
        <row r="1757">
          <cell r="M1757" t="str">
            <v>话费</v>
          </cell>
        </row>
        <row r="1757">
          <cell r="S1757">
            <v>50</v>
          </cell>
        </row>
        <row r="1758">
          <cell r="M1758" t="str">
            <v>会员</v>
          </cell>
        </row>
        <row r="1758">
          <cell r="S1758">
            <v>8</v>
          </cell>
        </row>
        <row r="1759">
          <cell r="M1759" t="str">
            <v>日用</v>
          </cell>
        </row>
        <row r="1759">
          <cell r="S1759">
            <v>29.9</v>
          </cell>
        </row>
        <row r="1760">
          <cell r="M1760" t="str">
            <v>日用</v>
          </cell>
        </row>
        <row r="1760">
          <cell r="S1760">
            <v>2</v>
          </cell>
        </row>
        <row r="1761">
          <cell r="M1761" t="str">
            <v>小资</v>
          </cell>
        </row>
        <row r="1761">
          <cell r="R1761" t="str">
            <v>吃喝</v>
          </cell>
          <cell r="S1761">
            <v>11.7</v>
          </cell>
        </row>
        <row r="1762">
          <cell r="M1762" t="str">
            <v>日用</v>
          </cell>
        </row>
        <row r="1762">
          <cell r="S1762">
            <v>39.7</v>
          </cell>
        </row>
        <row r="1763">
          <cell r="M1763" t="str">
            <v>日用</v>
          </cell>
        </row>
        <row r="1763">
          <cell r="S1763">
            <v>34.14</v>
          </cell>
        </row>
        <row r="1764">
          <cell r="M1764" t="str">
            <v>日用</v>
          </cell>
        </row>
        <row r="1764">
          <cell r="S1764">
            <v>-0.5</v>
          </cell>
        </row>
        <row r="1765">
          <cell r="M1765" t="str">
            <v>小资</v>
          </cell>
        </row>
        <row r="1765">
          <cell r="R1765" t="str">
            <v>吃喝</v>
          </cell>
          <cell r="S1765">
            <v>17</v>
          </cell>
        </row>
        <row r="1766">
          <cell r="M1766" t="str">
            <v>日用</v>
          </cell>
        </row>
        <row r="1766">
          <cell r="S1766">
            <v>2</v>
          </cell>
        </row>
        <row r="1767">
          <cell r="M1767" t="str">
            <v>日用</v>
          </cell>
        </row>
        <row r="1767">
          <cell r="S1767">
            <v>4</v>
          </cell>
        </row>
        <row r="1768">
          <cell r="M1768" t="str">
            <v>日用</v>
          </cell>
        </row>
        <row r="1768">
          <cell r="S1768">
            <v>112.1</v>
          </cell>
        </row>
        <row r="1769">
          <cell r="M1769" t="str">
            <v>话费</v>
          </cell>
        </row>
        <row r="1769">
          <cell r="S1769">
            <v>50</v>
          </cell>
        </row>
        <row r="1770">
          <cell r="M1770" t="str">
            <v>日用</v>
          </cell>
        </row>
        <row r="1770">
          <cell r="S1770">
            <v>261.14</v>
          </cell>
        </row>
        <row r="1771">
          <cell r="M1771" t="str">
            <v>日用</v>
          </cell>
        </row>
        <row r="1771">
          <cell r="S1771">
            <v>2</v>
          </cell>
        </row>
        <row r="1772">
          <cell r="M1772" t="str">
            <v>晚餐</v>
          </cell>
        </row>
        <row r="1772">
          <cell r="S1772">
            <v>10</v>
          </cell>
        </row>
        <row r="1773">
          <cell r="M1773" t="str">
            <v>日用</v>
          </cell>
        </row>
        <row r="1773">
          <cell r="S1773">
            <v>30</v>
          </cell>
        </row>
        <row r="1774">
          <cell r="M1774" t="str">
            <v>小资</v>
          </cell>
        </row>
        <row r="1774">
          <cell r="R1774" t="str">
            <v>吃喝</v>
          </cell>
          <cell r="S1774">
            <v>10</v>
          </cell>
        </row>
        <row r="1775">
          <cell r="M1775" t="str">
            <v>小资</v>
          </cell>
        </row>
        <row r="1775">
          <cell r="R1775" t="str">
            <v>游玩</v>
          </cell>
          <cell r="S1775">
            <v>80</v>
          </cell>
        </row>
        <row r="1776">
          <cell r="M1776" t="str">
            <v>小资</v>
          </cell>
        </row>
        <row r="1776">
          <cell r="R1776" t="str">
            <v>城内</v>
          </cell>
          <cell r="S1776">
            <v>10.69</v>
          </cell>
        </row>
        <row r="1777">
          <cell r="M1777" t="str">
            <v>小资</v>
          </cell>
        </row>
        <row r="1777">
          <cell r="R1777" t="str">
            <v>吃喝</v>
          </cell>
          <cell r="S1777">
            <v>88</v>
          </cell>
        </row>
        <row r="1778">
          <cell r="M1778" t="str">
            <v>小资</v>
          </cell>
        </row>
        <row r="1778">
          <cell r="R1778" t="str">
            <v>吃喝</v>
          </cell>
          <cell r="S1778">
            <v>10</v>
          </cell>
        </row>
        <row r="1779">
          <cell r="M1779" t="str">
            <v>小资</v>
          </cell>
        </row>
        <row r="1779">
          <cell r="R1779" t="str">
            <v>城内</v>
          </cell>
          <cell r="S1779">
            <v>4</v>
          </cell>
        </row>
        <row r="1780">
          <cell r="M1780" t="str">
            <v>小资</v>
          </cell>
        </row>
        <row r="1780">
          <cell r="R1780" t="str">
            <v>城内</v>
          </cell>
          <cell r="S1780">
            <v>4.4</v>
          </cell>
        </row>
        <row r="1781">
          <cell r="M1781" t="str">
            <v>小资</v>
          </cell>
        </row>
        <row r="1781">
          <cell r="R1781" t="str">
            <v>城内</v>
          </cell>
          <cell r="S1781">
            <v>32.1</v>
          </cell>
        </row>
        <row r="1782">
          <cell r="M1782" t="str">
            <v>会员</v>
          </cell>
        </row>
        <row r="1782">
          <cell r="S1782">
            <v>15</v>
          </cell>
        </row>
        <row r="1783">
          <cell r="M1783" t="str">
            <v>日用</v>
          </cell>
        </row>
        <row r="1783">
          <cell r="S1783">
            <v>9</v>
          </cell>
        </row>
        <row r="1784">
          <cell r="M1784" t="str">
            <v>日用</v>
          </cell>
        </row>
        <row r="1784">
          <cell r="S1784">
            <v>5</v>
          </cell>
        </row>
        <row r="1785">
          <cell r="M1785" t="str">
            <v>早餐</v>
          </cell>
        </row>
        <row r="1785">
          <cell r="S1785">
            <v>7</v>
          </cell>
        </row>
        <row r="1786">
          <cell r="M1786" t="str">
            <v>日用</v>
          </cell>
        </row>
        <row r="1786">
          <cell r="S1786">
            <v>4</v>
          </cell>
        </row>
        <row r="1787">
          <cell r="M1787" t="str">
            <v>会员</v>
          </cell>
        </row>
        <row r="1787">
          <cell r="S1787">
            <v>99</v>
          </cell>
        </row>
        <row r="1788">
          <cell r="M1788" t="str">
            <v>晚餐</v>
          </cell>
        </row>
        <row r="1788">
          <cell r="S1788">
            <v>18</v>
          </cell>
        </row>
        <row r="1789">
          <cell r="M1789" t="str">
            <v>日用</v>
          </cell>
        </row>
        <row r="1789">
          <cell r="S1789">
            <v>18.9</v>
          </cell>
        </row>
        <row r="1790">
          <cell r="M1790" t="str">
            <v>小资</v>
          </cell>
        </row>
        <row r="1790">
          <cell r="R1790" t="str">
            <v>吃喝</v>
          </cell>
          <cell r="S1790">
            <v>29.49</v>
          </cell>
        </row>
        <row r="1791">
          <cell r="M1791" t="str">
            <v>日用</v>
          </cell>
        </row>
        <row r="1791">
          <cell r="S1791">
            <v>80</v>
          </cell>
        </row>
        <row r="1792">
          <cell r="M1792" t="str">
            <v>晚餐</v>
          </cell>
        </row>
        <row r="1792">
          <cell r="S1792">
            <v>10</v>
          </cell>
        </row>
        <row r="1793">
          <cell r="M1793" t="str">
            <v>游戏</v>
          </cell>
        </row>
        <row r="1793">
          <cell r="S1793">
            <v>30</v>
          </cell>
        </row>
        <row r="1794">
          <cell r="M1794" t="str">
            <v>日用</v>
          </cell>
        </row>
        <row r="1794">
          <cell r="S1794">
            <v>41</v>
          </cell>
        </row>
        <row r="1795">
          <cell r="M1795" t="str">
            <v>房租</v>
          </cell>
        </row>
        <row r="1795">
          <cell r="S1795">
            <v>430</v>
          </cell>
        </row>
        <row r="1796">
          <cell r="M1796" t="str">
            <v>话费</v>
          </cell>
        </row>
        <row r="1796">
          <cell r="S1796">
            <v>50</v>
          </cell>
        </row>
        <row r="1797">
          <cell r="M1797" t="str">
            <v>话费</v>
          </cell>
        </row>
        <row r="1797">
          <cell r="S1797">
            <v>50</v>
          </cell>
        </row>
        <row r="1798">
          <cell r="M1798" t="str">
            <v>话费</v>
          </cell>
        </row>
        <row r="1798">
          <cell r="S1798">
            <v>50</v>
          </cell>
        </row>
        <row r="1799">
          <cell r="M1799" t="str">
            <v>会员</v>
          </cell>
        </row>
        <row r="1799">
          <cell r="S1799">
            <v>6</v>
          </cell>
        </row>
        <row r="1800">
          <cell r="M1800" t="str">
            <v>副入</v>
          </cell>
        </row>
        <row r="1800">
          <cell r="S1800">
            <v>-405</v>
          </cell>
        </row>
        <row r="1801">
          <cell r="M1801" t="str">
            <v>晚餐</v>
          </cell>
        </row>
        <row r="1801">
          <cell r="S1801">
            <v>2</v>
          </cell>
        </row>
        <row r="1802">
          <cell r="M1802" t="str">
            <v>晚餐</v>
          </cell>
        </row>
        <row r="1802">
          <cell r="S1802">
            <v>18</v>
          </cell>
        </row>
        <row r="1803">
          <cell r="M1803" t="str">
            <v>社交</v>
          </cell>
        </row>
        <row r="1803">
          <cell r="S1803">
            <v>9</v>
          </cell>
        </row>
        <row r="1804">
          <cell r="M1804" t="str">
            <v>工资</v>
          </cell>
        </row>
        <row r="1804">
          <cell r="S1804">
            <v>-10000</v>
          </cell>
        </row>
        <row r="1805">
          <cell r="M1805" t="str">
            <v>工资</v>
          </cell>
        </row>
        <row r="1805">
          <cell r="S1805">
            <v>-10000</v>
          </cell>
        </row>
        <row r="1806">
          <cell r="M1806" t="str">
            <v>个人还款</v>
          </cell>
        </row>
        <row r="1806">
          <cell r="R1806" t="str">
            <v>老母亲</v>
          </cell>
          <cell r="S1806">
            <v>10000</v>
          </cell>
        </row>
        <row r="1807">
          <cell r="M1807" t="str">
            <v>小资</v>
          </cell>
        </row>
        <row r="1807">
          <cell r="R1807" t="str">
            <v>城内</v>
          </cell>
          <cell r="S1807">
            <v>20.5</v>
          </cell>
        </row>
        <row r="1808">
          <cell r="M1808" t="str">
            <v>早餐</v>
          </cell>
        </row>
        <row r="1808">
          <cell r="S1808">
            <v>2</v>
          </cell>
        </row>
        <row r="1809">
          <cell r="M1809" t="str">
            <v>会员</v>
          </cell>
        </row>
        <row r="1809">
          <cell r="S1809">
            <v>19</v>
          </cell>
        </row>
        <row r="1810">
          <cell r="M1810" t="str">
            <v>社交</v>
          </cell>
        </row>
        <row r="1810">
          <cell r="S1810">
            <v>18</v>
          </cell>
        </row>
        <row r="1811">
          <cell r="M1811" t="str">
            <v>工资</v>
          </cell>
        </row>
        <row r="1811">
          <cell r="S1811">
            <v>-2000</v>
          </cell>
        </row>
        <row r="1812">
          <cell r="M1812" t="str">
            <v>日用</v>
          </cell>
        </row>
        <row r="1812">
          <cell r="S1812">
            <v>2</v>
          </cell>
        </row>
        <row r="1813">
          <cell r="M1813" t="str">
            <v>副入</v>
          </cell>
        </row>
        <row r="1813">
          <cell r="S1813">
            <v>-1500</v>
          </cell>
        </row>
        <row r="1814">
          <cell r="M1814" t="str">
            <v>会员</v>
          </cell>
        </row>
        <row r="1814">
          <cell r="S1814">
            <v>25</v>
          </cell>
        </row>
        <row r="1815">
          <cell r="M1815" t="str">
            <v>日用</v>
          </cell>
        </row>
        <row r="1815">
          <cell r="S1815">
            <v>38.9</v>
          </cell>
        </row>
        <row r="1816">
          <cell r="M1816" t="str">
            <v>日用</v>
          </cell>
        </row>
        <row r="1816">
          <cell r="S1816">
            <v>40.9</v>
          </cell>
        </row>
        <row r="1817">
          <cell r="M1817" t="str">
            <v>小资</v>
          </cell>
        </row>
        <row r="1817">
          <cell r="R1817" t="str">
            <v>吃喝</v>
          </cell>
          <cell r="S1817">
            <v>35</v>
          </cell>
        </row>
        <row r="1818">
          <cell r="M1818" t="str">
            <v>小资</v>
          </cell>
        </row>
        <row r="1818">
          <cell r="R1818" t="str">
            <v>吃喝</v>
          </cell>
          <cell r="S1818">
            <v>15</v>
          </cell>
        </row>
        <row r="1819">
          <cell r="M1819" t="str">
            <v>小资</v>
          </cell>
        </row>
        <row r="1819">
          <cell r="R1819" t="str">
            <v>城内</v>
          </cell>
          <cell r="S1819">
            <v>13.1</v>
          </cell>
        </row>
        <row r="1820">
          <cell r="M1820" t="str">
            <v>小资</v>
          </cell>
        </row>
        <row r="1820">
          <cell r="R1820" t="str">
            <v>城内</v>
          </cell>
          <cell r="S1820">
            <v>4.3</v>
          </cell>
        </row>
        <row r="1821">
          <cell r="M1821" t="str">
            <v>小资</v>
          </cell>
        </row>
        <row r="1821">
          <cell r="R1821" t="str">
            <v>游玩</v>
          </cell>
          <cell r="S1821">
            <v>80</v>
          </cell>
        </row>
        <row r="1822">
          <cell r="M1822" t="str">
            <v>小资</v>
          </cell>
        </row>
        <row r="1822">
          <cell r="R1822" t="str">
            <v>城内</v>
          </cell>
          <cell r="S1822">
            <v>16</v>
          </cell>
        </row>
        <row r="1823">
          <cell r="M1823" t="str">
            <v>小资</v>
          </cell>
        </row>
        <row r="1823">
          <cell r="R1823" t="str">
            <v>吃喝</v>
          </cell>
          <cell r="S1823">
            <v>5</v>
          </cell>
        </row>
        <row r="1824">
          <cell r="M1824" t="str">
            <v>小资</v>
          </cell>
        </row>
        <row r="1824">
          <cell r="R1824" t="str">
            <v>游玩</v>
          </cell>
          <cell r="S1824">
            <v>30</v>
          </cell>
        </row>
        <row r="1825">
          <cell r="M1825" t="str">
            <v>小资</v>
          </cell>
        </row>
        <row r="1825">
          <cell r="R1825" t="str">
            <v>吃喝</v>
          </cell>
          <cell r="S1825">
            <v>4.5</v>
          </cell>
        </row>
        <row r="1826">
          <cell r="M1826" t="str">
            <v>小资</v>
          </cell>
        </row>
        <row r="1826">
          <cell r="R1826" t="str">
            <v>电影</v>
          </cell>
          <cell r="S1826">
            <v>46</v>
          </cell>
        </row>
        <row r="1827">
          <cell r="M1827" t="str">
            <v>小资</v>
          </cell>
        </row>
        <row r="1827">
          <cell r="R1827" t="str">
            <v>城内</v>
          </cell>
          <cell r="S1827">
            <v>16.4</v>
          </cell>
        </row>
        <row r="1828">
          <cell r="M1828" t="str">
            <v>小资</v>
          </cell>
        </row>
        <row r="1828">
          <cell r="R1828" t="str">
            <v>吃喝</v>
          </cell>
          <cell r="S1828">
            <v>31</v>
          </cell>
        </row>
        <row r="1829">
          <cell r="M1829" t="str">
            <v>小资</v>
          </cell>
        </row>
        <row r="1829">
          <cell r="R1829" t="str">
            <v>吃喝</v>
          </cell>
          <cell r="S1829">
            <v>8</v>
          </cell>
        </row>
        <row r="1830">
          <cell r="M1830" t="str">
            <v>小资</v>
          </cell>
        </row>
        <row r="1830">
          <cell r="R1830" t="str">
            <v>吃喝</v>
          </cell>
          <cell r="S1830">
            <v>33.5</v>
          </cell>
        </row>
        <row r="1831">
          <cell r="M1831" t="str">
            <v>小资</v>
          </cell>
        </row>
        <row r="1831">
          <cell r="R1831" t="str">
            <v>城内</v>
          </cell>
          <cell r="S1831">
            <v>6.1</v>
          </cell>
        </row>
        <row r="1832">
          <cell r="M1832" t="str">
            <v>小资</v>
          </cell>
        </row>
        <row r="1832">
          <cell r="R1832" t="str">
            <v>城内</v>
          </cell>
          <cell r="S1832">
            <v>6.5</v>
          </cell>
        </row>
        <row r="1833">
          <cell r="M1833" t="str">
            <v>日用</v>
          </cell>
        </row>
        <row r="1833">
          <cell r="S1833">
            <v>5</v>
          </cell>
        </row>
        <row r="1834">
          <cell r="M1834" t="str">
            <v>小资</v>
          </cell>
        </row>
        <row r="1834">
          <cell r="R1834" t="str">
            <v>吃喝</v>
          </cell>
          <cell r="S1834">
            <v>18</v>
          </cell>
        </row>
        <row r="1835">
          <cell r="M1835" t="str">
            <v>日用</v>
          </cell>
        </row>
        <row r="1835">
          <cell r="S1835">
            <v>4.3</v>
          </cell>
        </row>
        <row r="1836">
          <cell r="M1836" t="str">
            <v>日用</v>
          </cell>
        </row>
        <row r="1836">
          <cell r="S1836">
            <v>-40.9</v>
          </cell>
        </row>
        <row r="1837">
          <cell r="M1837" t="str">
            <v>小资</v>
          </cell>
        </row>
        <row r="1837">
          <cell r="R1837" t="str">
            <v>城内</v>
          </cell>
          <cell r="S1837">
            <v>4.3</v>
          </cell>
        </row>
        <row r="1838">
          <cell r="M1838" t="str">
            <v>小资</v>
          </cell>
        </row>
        <row r="1838">
          <cell r="R1838" t="str">
            <v>吃喝</v>
          </cell>
          <cell r="S1838">
            <v>14.94</v>
          </cell>
        </row>
        <row r="1839">
          <cell r="M1839" t="str">
            <v>小资</v>
          </cell>
        </row>
        <row r="1839">
          <cell r="R1839" t="str">
            <v>吃喝</v>
          </cell>
          <cell r="S1839">
            <v>6</v>
          </cell>
        </row>
        <row r="1840">
          <cell r="M1840" t="str">
            <v>小资</v>
          </cell>
        </row>
        <row r="1840">
          <cell r="R1840" t="str">
            <v>吃喝</v>
          </cell>
          <cell r="S1840">
            <v>14.63</v>
          </cell>
        </row>
        <row r="1841">
          <cell r="M1841" t="str">
            <v>小资</v>
          </cell>
        </row>
        <row r="1841">
          <cell r="R1841" t="str">
            <v>城内</v>
          </cell>
          <cell r="S1841">
            <v>4.6</v>
          </cell>
        </row>
        <row r="1842">
          <cell r="M1842" t="str">
            <v>会员</v>
          </cell>
        </row>
        <row r="1842">
          <cell r="S1842">
            <v>2.4</v>
          </cell>
        </row>
        <row r="1843">
          <cell r="M1843" t="str">
            <v>早餐</v>
          </cell>
        </row>
        <row r="1843">
          <cell r="S1843">
            <v>2</v>
          </cell>
        </row>
        <row r="1844">
          <cell r="M1844" t="str">
            <v>话费</v>
          </cell>
        </row>
        <row r="1844">
          <cell r="S1844">
            <v>-40</v>
          </cell>
        </row>
        <row r="1845">
          <cell r="M1845" t="str">
            <v>话费</v>
          </cell>
        </row>
        <row r="1845">
          <cell r="S1845">
            <v>50</v>
          </cell>
        </row>
        <row r="1846">
          <cell r="M1846" t="str">
            <v>话费</v>
          </cell>
        </row>
        <row r="1846">
          <cell r="S1846">
            <v>30</v>
          </cell>
        </row>
        <row r="1847">
          <cell r="M1847" t="str">
            <v>早餐</v>
          </cell>
        </row>
        <row r="1847">
          <cell r="S1847">
            <v>2</v>
          </cell>
        </row>
        <row r="1848">
          <cell r="M1848" t="str">
            <v>出行</v>
          </cell>
        </row>
        <row r="1848">
          <cell r="S1848">
            <v>17.5</v>
          </cell>
        </row>
        <row r="1849">
          <cell r="M1849" t="str">
            <v>日用</v>
          </cell>
        </row>
        <row r="1849">
          <cell r="S1849">
            <v>-0.42</v>
          </cell>
        </row>
        <row r="1850">
          <cell r="M1850" t="str">
            <v>晚餐</v>
          </cell>
        </row>
        <row r="1850">
          <cell r="S1850">
            <v>31</v>
          </cell>
        </row>
        <row r="1851">
          <cell r="M1851" t="str">
            <v>早餐</v>
          </cell>
        </row>
        <row r="1851">
          <cell r="S1851">
            <v>11</v>
          </cell>
        </row>
        <row r="1852">
          <cell r="M1852" t="str">
            <v>会员</v>
          </cell>
        </row>
        <row r="1852">
          <cell r="S1852">
            <v>15</v>
          </cell>
        </row>
        <row r="1853">
          <cell r="M1853" t="str">
            <v>养育</v>
          </cell>
        </row>
        <row r="1853">
          <cell r="S1853">
            <v>42.78</v>
          </cell>
        </row>
        <row r="1854">
          <cell r="M1854" t="str">
            <v>养育</v>
          </cell>
        </row>
        <row r="1854">
          <cell r="S1854">
            <v>40.53</v>
          </cell>
        </row>
        <row r="1855">
          <cell r="M1855" t="str">
            <v>会员</v>
          </cell>
        </row>
        <row r="1855">
          <cell r="S1855">
            <v>15</v>
          </cell>
        </row>
        <row r="1856">
          <cell r="M1856" t="str">
            <v>社交</v>
          </cell>
        </row>
        <row r="1856">
          <cell r="S1856">
            <v>30</v>
          </cell>
        </row>
        <row r="1857">
          <cell r="M1857" t="str">
            <v>早餐</v>
          </cell>
        </row>
        <row r="1857">
          <cell r="S1857">
            <v>8</v>
          </cell>
        </row>
        <row r="1858">
          <cell r="M1858" t="str">
            <v>早餐</v>
          </cell>
        </row>
        <row r="1858">
          <cell r="S1858">
            <v>10</v>
          </cell>
        </row>
        <row r="1859">
          <cell r="M1859" t="str">
            <v>晚餐</v>
          </cell>
        </row>
        <row r="1859">
          <cell r="S1859">
            <v>24</v>
          </cell>
        </row>
        <row r="1860">
          <cell r="M1860" t="str">
            <v>小资</v>
          </cell>
        </row>
        <row r="1860">
          <cell r="R1860" t="str">
            <v>吃喝</v>
          </cell>
          <cell r="S1860">
            <v>10</v>
          </cell>
        </row>
        <row r="1861">
          <cell r="M1861" t="str">
            <v>早餐</v>
          </cell>
        </row>
        <row r="1861">
          <cell r="S1861">
            <v>10</v>
          </cell>
        </row>
        <row r="1862">
          <cell r="M1862" t="str">
            <v>早餐</v>
          </cell>
        </row>
        <row r="1862">
          <cell r="S1862">
            <v>2</v>
          </cell>
        </row>
        <row r="1863">
          <cell r="M1863" t="str">
            <v>社交</v>
          </cell>
        </row>
        <row r="1863">
          <cell r="S1863">
            <v>14</v>
          </cell>
        </row>
        <row r="1864">
          <cell r="M1864" t="str">
            <v>社交</v>
          </cell>
        </row>
        <row r="1864">
          <cell r="S1864">
            <v>34</v>
          </cell>
        </row>
        <row r="1865">
          <cell r="M1865" t="str">
            <v>社交</v>
          </cell>
        </row>
        <row r="1865">
          <cell r="S1865">
            <v>13.1</v>
          </cell>
        </row>
        <row r="1866">
          <cell r="M1866" t="str">
            <v>会员</v>
          </cell>
        </row>
        <row r="1866">
          <cell r="S1866">
            <v>8</v>
          </cell>
        </row>
        <row r="1867">
          <cell r="M1867" t="str">
            <v>社交</v>
          </cell>
        </row>
        <row r="1867">
          <cell r="S1867">
            <v>16.4</v>
          </cell>
        </row>
        <row r="1868">
          <cell r="M1868" t="str">
            <v>早餐</v>
          </cell>
        </row>
        <row r="1868">
          <cell r="S1868">
            <v>2</v>
          </cell>
        </row>
        <row r="1869">
          <cell r="M1869" t="str">
            <v>小资</v>
          </cell>
        </row>
        <row r="1869">
          <cell r="R1869" t="str">
            <v>城内</v>
          </cell>
          <cell r="S1869">
            <v>39.8</v>
          </cell>
        </row>
        <row r="1870">
          <cell r="M1870" t="str">
            <v>小资</v>
          </cell>
        </row>
        <row r="1870">
          <cell r="R1870" t="str">
            <v>吃喝</v>
          </cell>
          <cell r="S1870">
            <v>7</v>
          </cell>
        </row>
        <row r="1871">
          <cell r="M1871" t="str">
            <v>小资</v>
          </cell>
        </row>
        <row r="1871">
          <cell r="R1871" t="str">
            <v>游玩</v>
          </cell>
          <cell r="S1871">
            <v>58</v>
          </cell>
        </row>
        <row r="1872">
          <cell r="M1872" t="str">
            <v>小资</v>
          </cell>
        </row>
        <row r="1872">
          <cell r="R1872" t="str">
            <v>吃喝</v>
          </cell>
          <cell r="S1872">
            <v>7</v>
          </cell>
        </row>
        <row r="1873">
          <cell r="M1873" t="str">
            <v>小资</v>
          </cell>
        </row>
        <row r="1873">
          <cell r="R1873" t="str">
            <v>城内</v>
          </cell>
          <cell r="S1873">
            <v>3.99</v>
          </cell>
        </row>
        <row r="1874">
          <cell r="M1874" t="str">
            <v>小资</v>
          </cell>
        </row>
        <row r="1874">
          <cell r="R1874" t="str">
            <v>城内</v>
          </cell>
          <cell r="S1874">
            <v>-30</v>
          </cell>
        </row>
        <row r="1875">
          <cell r="M1875" t="str">
            <v>小资</v>
          </cell>
        </row>
        <row r="1875">
          <cell r="R1875" t="str">
            <v>吃喝</v>
          </cell>
          <cell r="S1875">
            <v>23</v>
          </cell>
        </row>
        <row r="1876">
          <cell r="M1876" t="str">
            <v>小资</v>
          </cell>
        </row>
        <row r="1876">
          <cell r="R1876" t="str">
            <v>吃喝</v>
          </cell>
          <cell r="S1876">
            <v>10</v>
          </cell>
        </row>
        <row r="1877">
          <cell r="M1877" t="str">
            <v>小资</v>
          </cell>
        </row>
        <row r="1877">
          <cell r="R1877" t="str">
            <v>城内</v>
          </cell>
          <cell r="S1877">
            <v>105.9</v>
          </cell>
        </row>
        <row r="1878">
          <cell r="M1878" t="str">
            <v>恋爱</v>
          </cell>
        </row>
        <row r="1878">
          <cell r="R1878" t="str">
            <v>城际</v>
          </cell>
          <cell r="S1878">
            <v>1280</v>
          </cell>
        </row>
        <row r="1879">
          <cell r="M1879" t="str">
            <v>恋爱</v>
          </cell>
        </row>
        <row r="1879">
          <cell r="R1879" t="str">
            <v>城际</v>
          </cell>
          <cell r="S1879">
            <v>920</v>
          </cell>
        </row>
        <row r="1880">
          <cell r="M1880" t="str">
            <v>恋爱</v>
          </cell>
        </row>
        <row r="1880">
          <cell r="R1880" t="str">
            <v>吃喝</v>
          </cell>
          <cell r="S1880">
            <v>45</v>
          </cell>
        </row>
        <row r="1881">
          <cell r="M1881" t="str">
            <v>恋爱</v>
          </cell>
        </row>
        <row r="1881">
          <cell r="R1881" t="str">
            <v>城际</v>
          </cell>
          <cell r="S1881">
            <v>120</v>
          </cell>
        </row>
        <row r="1882">
          <cell r="M1882" t="str">
            <v>恋爱</v>
          </cell>
        </row>
        <row r="1882">
          <cell r="R1882" t="str">
            <v>城际</v>
          </cell>
          <cell r="S1882">
            <v>20</v>
          </cell>
        </row>
        <row r="1883">
          <cell r="M1883" t="str">
            <v>恋爱</v>
          </cell>
        </row>
        <row r="1883">
          <cell r="R1883" t="str">
            <v>住宿</v>
          </cell>
          <cell r="S1883">
            <v>244.5</v>
          </cell>
        </row>
        <row r="1884">
          <cell r="M1884" t="str">
            <v>恋爱</v>
          </cell>
        </row>
        <row r="1884">
          <cell r="R1884" t="str">
            <v>吃喝</v>
          </cell>
          <cell r="S1884">
            <v>17</v>
          </cell>
        </row>
        <row r="1885">
          <cell r="M1885" t="str">
            <v>恋爱</v>
          </cell>
        </row>
        <row r="1885">
          <cell r="R1885" t="str">
            <v>吃喝</v>
          </cell>
          <cell r="S1885">
            <v>25</v>
          </cell>
        </row>
        <row r="1886">
          <cell r="M1886" t="str">
            <v>恋爱</v>
          </cell>
        </row>
        <row r="1886">
          <cell r="R1886" t="str">
            <v>吃喝</v>
          </cell>
          <cell r="S1886">
            <v>20</v>
          </cell>
        </row>
        <row r="1887">
          <cell r="M1887" t="str">
            <v>恋爱</v>
          </cell>
        </row>
        <row r="1887">
          <cell r="R1887" t="str">
            <v>药品</v>
          </cell>
          <cell r="S1887">
            <v>140</v>
          </cell>
        </row>
        <row r="1888">
          <cell r="M1888" t="str">
            <v>恋爱</v>
          </cell>
        </row>
        <row r="1888">
          <cell r="R1888" t="str">
            <v>吃喝</v>
          </cell>
          <cell r="S1888">
            <v>36.7</v>
          </cell>
        </row>
        <row r="1889">
          <cell r="M1889" t="str">
            <v>恋爱</v>
          </cell>
        </row>
        <row r="1889">
          <cell r="R1889" t="str">
            <v>住宿</v>
          </cell>
          <cell r="S1889">
            <v>299.31</v>
          </cell>
        </row>
        <row r="1890">
          <cell r="M1890" t="str">
            <v>恋爱</v>
          </cell>
        </row>
        <row r="1890">
          <cell r="R1890" t="str">
            <v>吃喝</v>
          </cell>
          <cell r="S1890">
            <v>8</v>
          </cell>
        </row>
        <row r="1891">
          <cell r="M1891" t="str">
            <v>恋爱</v>
          </cell>
        </row>
        <row r="1891">
          <cell r="R1891" t="str">
            <v>吃喝</v>
          </cell>
          <cell r="S1891">
            <v>10</v>
          </cell>
        </row>
        <row r="1892">
          <cell r="M1892" t="str">
            <v>恋爱</v>
          </cell>
        </row>
        <row r="1892">
          <cell r="R1892" t="str">
            <v>吃喝</v>
          </cell>
          <cell r="S1892">
            <v>20</v>
          </cell>
        </row>
        <row r="1893">
          <cell r="M1893" t="str">
            <v>恋爱</v>
          </cell>
        </row>
        <row r="1893">
          <cell r="R1893" t="str">
            <v>游玩</v>
          </cell>
          <cell r="S1893">
            <v>38</v>
          </cell>
        </row>
        <row r="1894">
          <cell r="M1894" t="str">
            <v>恋爱</v>
          </cell>
        </row>
        <row r="1894">
          <cell r="R1894" t="str">
            <v>游玩</v>
          </cell>
          <cell r="S1894">
            <v>38</v>
          </cell>
        </row>
        <row r="1895">
          <cell r="M1895" t="str">
            <v>恋爱</v>
          </cell>
        </row>
        <row r="1895">
          <cell r="R1895" t="str">
            <v>吃喝</v>
          </cell>
          <cell r="S1895">
            <v>176.9</v>
          </cell>
        </row>
        <row r="1896">
          <cell r="M1896" t="str">
            <v>小资</v>
          </cell>
        </row>
        <row r="1896">
          <cell r="R1896" t="str">
            <v>电影</v>
          </cell>
          <cell r="S1896">
            <v>50.9</v>
          </cell>
        </row>
        <row r="1897">
          <cell r="M1897" t="str">
            <v>恋爱</v>
          </cell>
        </row>
        <row r="1897">
          <cell r="R1897" t="str">
            <v>城内</v>
          </cell>
          <cell r="S1897">
            <v>60.44</v>
          </cell>
        </row>
        <row r="1898">
          <cell r="M1898" t="str">
            <v>恋爱</v>
          </cell>
        </row>
        <row r="1898">
          <cell r="R1898" t="str">
            <v>城内</v>
          </cell>
          <cell r="S1898">
            <v>13.6</v>
          </cell>
        </row>
        <row r="1899">
          <cell r="M1899" t="str">
            <v>恋爱</v>
          </cell>
        </row>
        <row r="1899">
          <cell r="R1899" t="str">
            <v>吃喝</v>
          </cell>
          <cell r="S1899">
            <v>27.58</v>
          </cell>
        </row>
        <row r="1900">
          <cell r="M1900" t="str">
            <v>话费</v>
          </cell>
        </row>
        <row r="1900">
          <cell r="S1900">
            <v>50</v>
          </cell>
        </row>
        <row r="1901">
          <cell r="M1901" t="str">
            <v>恋爱</v>
          </cell>
        </row>
        <row r="1901">
          <cell r="R1901" t="str">
            <v>住宿</v>
          </cell>
          <cell r="S1901">
            <v>319.4</v>
          </cell>
        </row>
        <row r="1902">
          <cell r="M1902" t="str">
            <v>恋爱</v>
          </cell>
        </row>
        <row r="1902">
          <cell r="R1902" t="str">
            <v>礼物</v>
          </cell>
          <cell r="S1902">
            <v>131.8</v>
          </cell>
        </row>
        <row r="1903">
          <cell r="M1903" t="str">
            <v>恋爱</v>
          </cell>
        </row>
        <row r="1903">
          <cell r="R1903" t="str">
            <v>吃喝</v>
          </cell>
          <cell r="S1903">
            <v>10</v>
          </cell>
        </row>
        <row r="1904">
          <cell r="M1904" t="str">
            <v>恋爱</v>
          </cell>
        </row>
        <row r="1904">
          <cell r="R1904" t="str">
            <v>礼物</v>
          </cell>
          <cell r="S1904">
            <v>10</v>
          </cell>
        </row>
        <row r="1905">
          <cell r="M1905" t="str">
            <v>日用</v>
          </cell>
        </row>
        <row r="1905">
          <cell r="S1905">
            <v>43.2</v>
          </cell>
        </row>
        <row r="1906">
          <cell r="M1906" t="str">
            <v>恋爱</v>
          </cell>
        </row>
        <row r="1906">
          <cell r="R1906" t="str">
            <v>吃喝</v>
          </cell>
          <cell r="S1906">
            <v>80</v>
          </cell>
        </row>
        <row r="1907">
          <cell r="M1907" t="str">
            <v>恋爱</v>
          </cell>
        </row>
        <row r="1907">
          <cell r="R1907" t="str">
            <v>吃喝</v>
          </cell>
          <cell r="S1907">
            <v>50</v>
          </cell>
        </row>
        <row r="1908">
          <cell r="M1908" t="str">
            <v>个人还款</v>
          </cell>
        </row>
        <row r="1908">
          <cell r="R1908" t="str">
            <v>谢圆圆</v>
          </cell>
          <cell r="S1908">
            <v>10000</v>
          </cell>
        </row>
        <row r="1909">
          <cell r="M1909" t="str">
            <v>恋爱</v>
          </cell>
        </row>
        <row r="1909">
          <cell r="R1909" t="str">
            <v>城际</v>
          </cell>
          <cell r="S1909">
            <v>150</v>
          </cell>
        </row>
        <row r="1910">
          <cell r="M1910" t="str">
            <v>早餐</v>
          </cell>
        </row>
        <row r="1910">
          <cell r="S1910">
            <v>4</v>
          </cell>
        </row>
        <row r="1911">
          <cell r="M1911" t="str">
            <v>恋爱</v>
          </cell>
        </row>
        <row r="1911">
          <cell r="R1911" t="str">
            <v>城内</v>
          </cell>
          <cell r="S1911">
            <v>20.3</v>
          </cell>
        </row>
        <row r="1912">
          <cell r="M1912" t="str">
            <v>保山</v>
          </cell>
        </row>
        <row r="1912">
          <cell r="S1912">
            <v>60</v>
          </cell>
        </row>
        <row r="1913">
          <cell r="M1913" t="str">
            <v>会员</v>
          </cell>
        </row>
        <row r="1913">
          <cell r="S1913">
            <v>25</v>
          </cell>
        </row>
        <row r="1914">
          <cell r="M1914" t="str">
            <v>早餐</v>
          </cell>
        </row>
        <row r="1914">
          <cell r="S1914">
            <v>5</v>
          </cell>
        </row>
        <row r="1915">
          <cell r="M1915" t="str">
            <v>工资</v>
          </cell>
        </row>
        <row r="1915">
          <cell r="S1915">
            <v>-20000</v>
          </cell>
        </row>
        <row r="1916">
          <cell r="M1916" t="str">
            <v>个人还款</v>
          </cell>
        </row>
        <row r="1916">
          <cell r="R1916" t="str">
            <v>老母亲</v>
          </cell>
          <cell r="S1916">
            <v>6000</v>
          </cell>
        </row>
        <row r="1917">
          <cell r="M1917" t="str">
            <v>孝敬</v>
          </cell>
        </row>
        <row r="1917">
          <cell r="S1917">
            <v>4000</v>
          </cell>
        </row>
        <row r="1918">
          <cell r="M1918" t="str">
            <v>会员</v>
          </cell>
        </row>
        <row r="1918">
          <cell r="S1918">
            <v>15</v>
          </cell>
        </row>
        <row r="1919">
          <cell r="M1919" t="str">
            <v>早餐</v>
          </cell>
        </row>
        <row r="1919">
          <cell r="S1919">
            <v>5</v>
          </cell>
        </row>
        <row r="1920">
          <cell r="M1920" t="str">
            <v>工资</v>
          </cell>
        </row>
        <row r="1920">
          <cell r="S1920">
            <v>-2000</v>
          </cell>
        </row>
        <row r="1921">
          <cell r="M1921" t="str">
            <v>日用</v>
          </cell>
        </row>
        <row r="1921">
          <cell r="S1921">
            <v>124.2</v>
          </cell>
        </row>
        <row r="1922">
          <cell r="M1922" t="str">
            <v>日用</v>
          </cell>
        </row>
        <row r="1922">
          <cell r="S1922">
            <v>129</v>
          </cell>
        </row>
        <row r="1923">
          <cell r="M1923" t="str">
            <v>日用</v>
          </cell>
        </row>
        <row r="1923">
          <cell r="S1923">
            <v>15.59</v>
          </cell>
        </row>
        <row r="1924">
          <cell r="M1924" t="str">
            <v>日用</v>
          </cell>
        </row>
        <row r="1924">
          <cell r="S1924">
            <v>40.2</v>
          </cell>
        </row>
        <row r="1925">
          <cell r="M1925" t="str">
            <v>日用</v>
          </cell>
        </row>
        <row r="1925">
          <cell r="S1925">
            <v>72.27</v>
          </cell>
        </row>
        <row r="1926">
          <cell r="M1926" t="str">
            <v>日用</v>
          </cell>
        </row>
        <row r="1926">
          <cell r="S1926">
            <v>10</v>
          </cell>
        </row>
        <row r="1927">
          <cell r="M1927" t="str">
            <v>恋爱</v>
          </cell>
        </row>
        <row r="1927">
          <cell r="R1927" t="str">
            <v>城际</v>
          </cell>
          <cell r="S1927">
            <v>-120</v>
          </cell>
        </row>
        <row r="1928">
          <cell r="M1928" t="str">
            <v>小资</v>
          </cell>
        </row>
        <row r="1928">
          <cell r="R1928" t="str">
            <v>吃喝</v>
          </cell>
          <cell r="S1928">
            <v>3</v>
          </cell>
        </row>
        <row r="1929">
          <cell r="M1929" t="str">
            <v>晚餐</v>
          </cell>
        </row>
        <row r="1929">
          <cell r="S1929">
            <v>24</v>
          </cell>
        </row>
        <row r="1930">
          <cell r="M1930" t="str">
            <v>早餐</v>
          </cell>
        </row>
        <row r="1930">
          <cell r="S1930">
            <v>2</v>
          </cell>
        </row>
        <row r="1931">
          <cell r="M1931" t="str">
            <v>早餐</v>
          </cell>
        </row>
        <row r="1931">
          <cell r="S1931">
            <v>3</v>
          </cell>
        </row>
        <row r="1932">
          <cell r="M1932" t="str">
            <v>早餐</v>
          </cell>
        </row>
        <row r="1932">
          <cell r="S1932">
            <v>0.5</v>
          </cell>
        </row>
        <row r="1933">
          <cell r="M1933" t="str">
            <v>日用</v>
          </cell>
        </row>
        <row r="1933">
          <cell r="S1933">
            <v>6.7</v>
          </cell>
        </row>
        <row r="1934">
          <cell r="M1934" t="str">
            <v>日用</v>
          </cell>
        </row>
        <row r="1934">
          <cell r="S1934">
            <v>45</v>
          </cell>
        </row>
        <row r="1935">
          <cell r="M1935" t="str">
            <v>小资</v>
          </cell>
        </row>
        <row r="1935">
          <cell r="R1935" t="str">
            <v>吃喝</v>
          </cell>
          <cell r="S1935">
            <v>4</v>
          </cell>
        </row>
        <row r="1936">
          <cell r="M1936" t="str">
            <v>日用</v>
          </cell>
        </row>
        <row r="1936">
          <cell r="S1936">
            <v>17.56</v>
          </cell>
        </row>
        <row r="1937">
          <cell r="M1937" t="str">
            <v>晚餐</v>
          </cell>
        </row>
        <row r="1937">
          <cell r="S1937">
            <v>10</v>
          </cell>
        </row>
        <row r="1938">
          <cell r="M1938" t="str">
            <v>早餐</v>
          </cell>
        </row>
        <row r="1938">
          <cell r="S1938">
            <v>5</v>
          </cell>
        </row>
        <row r="1939">
          <cell r="M1939" t="str">
            <v>日用</v>
          </cell>
        </row>
        <row r="1939">
          <cell r="S1939">
            <v>4</v>
          </cell>
        </row>
        <row r="1940">
          <cell r="M1940" t="str">
            <v>小资</v>
          </cell>
        </row>
        <row r="1940">
          <cell r="R1940" t="str">
            <v>吃喝</v>
          </cell>
          <cell r="S1940">
            <v>4</v>
          </cell>
        </row>
        <row r="1941">
          <cell r="M1941" t="str">
            <v>日用</v>
          </cell>
        </row>
        <row r="1941">
          <cell r="S1941">
            <v>10</v>
          </cell>
        </row>
        <row r="1942">
          <cell r="M1942" t="str">
            <v>房租</v>
          </cell>
        </row>
        <row r="1942">
          <cell r="S1942">
            <v>430</v>
          </cell>
        </row>
        <row r="1943">
          <cell r="M1943" t="str">
            <v>早餐</v>
          </cell>
        </row>
        <row r="1943">
          <cell r="S1943">
            <v>5</v>
          </cell>
        </row>
        <row r="1944">
          <cell r="M1944" t="str">
            <v>话费</v>
          </cell>
        </row>
        <row r="1944">
          <cell r="S1944">
            <v>100</v>
          </cell>
        </row>
        <row r="1945">
          <cell r="M1945" t="str">
            <v>话费</v>
          </cell>
        </row>
        <row r="1945">
          <cell r="S1945">
            <v>50</v>
          </cell>
        </row>
        <row r="1946">
          <cell r="M1946" t="str">
            <v>日用</v>
          </cell>
        </row>
        <row r="1946">
          <cell r="S1946">
            <v>207.43</v>
          </cell>
        </row>
        <row r="1947">
          <cell r="M1947" t="str">
            <v>养育</v>
          </cell>
        </row>
        <row r="1947">
          <cell r="S1947">
            <v>1200</v>
          </cell>
        </row>
        <row r="1948">
          <cell r="M1948" t="str">
            <v>社交</v>
          </cell>
        </row>
        <row r="1948">
          <cell r="S1948">
            <v>16.8</v>
          </cell>
        </row>
        <row r="1949">
          <cell r="M1949" t="str">
            <v>晚餐</v>
          </cell>
        </row>
        <row r="1949">
          <cell r="S1949">
            <v>10</v>
          </cell>
        </row>
        <row r="1950">
          <cell r="M1950" t="str">
            <v>会员</v>
          </cell>
        </row>
        <row r="1950">
          <cell r="S1950">
            <v>6</v>
          </cell>
        </row>
        <row r="1951">
          <cell r="M1951" t="str">
            <v>小资</v>
          </cell>
        </row>
        <row r="1951">
          <cell r="R1951" t="str">
            <v>吃喝</v>
          </cell>
          <cell r="S1951">
            <v>12</v>
          </cell>
        </row>
        <row r="1952">
          <cell r="M1952" t="str">
            <v>小资</v>
          </cell>
        </row>
        <row r="1952">
          <cell r="R1952" t="str">
            <v>吃喝</v>
          </cell>
          <cell r="S1952">
            <v>3</v>
          </cell>
        </row>
        <row r="1953">
          <cell r="M1953" t="str">
            <v>小资</v>
          </cell>
        </row>
        <row r="1953">
          <cell r="R1953" t="str">
            <v>吃喝</v>
          </cell>
          <cell r="S1953">
            <v>70</v>
          </cell>
        </row>
        <row r="1954">
          <cell r="M1954" t="str">
            <v>晚餐</v>
          </cell>
        </row>
        <row r="1954">
          <cell r="S1954">
            <v>24</v>
          </cell>
        </row>
        <row r="1955">
          <cell r="M1955" t="str">
            <v>日用</v>
          </cell>
        </row>
        <row r="1955">
          <cell r="S1955">
            <v>9</v>
          </cell>
        </row>
        <row r="1956">
          <cell r="M1956" t="str">
            <v>早餐</v>
          </cell>
        </row>
        <row r="1956">
          <cell r="S1956">
            <v>2</v>
          </cell>
        </row>
        <row r="1957">
          <cell r="M1957" t="str">
            <v>会员</v>
          </cell>
        </row>
        <row r="1957">
          <cell r="S1957">
            <v>19</v>
          </cell>
        </row>
        <row r="1958">
          <cell r="M1958" t="str">
            <v>社交</v>
          </cell>
        </row>
        <row r="1958">
          <cell r="S1958">
            <v>118.9</v>
          </cell>
        </row>
        <row r="1959">
          <cell r="M1959" t="str">
            <v>小资</v>
          </cell>
        </row>
        <row r="1959">
          <cell r="R1959" t="str">
            <v>电影</v>
          </cell>
          <cell r="S1959">
            <v>43</v>
          </cell>
        </row>
        <row r="1960">
          <cell r="M1960" t="str">
            <v>小资</v>
          </cell>
        </row>
        <row r="1960">
          <cell r="R1960" t="str">
            <v>吃喝</v>
          </cell>
          <cell r="S1960">
            <v>12</v>
          </cell>
        </row>
        <row r="1961">
          <cell r="M1961" t="str">
            <v>小资</v>
          </cell>
        </row>
        <row r="1961">
          <cell r="R1961" t="str">
            <v>城内</v>
          </cell>
          <cell r="S1961">
            <v>6.1</v>
          </cell>
        </row>
        <row r="1962">
          <cell r="M1962" t="str">
            <v>小资</v>
          </cell>
        </row>
        <row r="1962">
          <cell r="R1962" t="str">
            <v>吃喝</v>
          </cell>
          <cell r="S1962">
            <v>3.5</v>
          </cell>
        </row>
        <row r="1963">
          <cell r="M1963" t="str">
            <v>早餐</v>
          </cell>
        </row>
        <row r="1963">
          <cell r="S1963">
            <v>10</v>
          </cell>
        </row>
        <row r="1964">
          <cell r="M1964" t="str">
            <v>债权投资</v>
          </cell>
        </row>
        <row r="1964">
          <cell r="S1964">
            <v>1500</v>
          </cell>
        </row>
        <row r="1965">
          <cell r="M1965" t="str">
            <v>会员</v>
          </cell>
        </row>
        <row r="1965">
          <cell r="S1965">
            <v>12</v>
          </cell>
        </row>
        <row r="1966">
          <cell r="M1966" t="str">
            <v>早餐</v>
          </cell>
        </row>
        <row r="1966">
          <cell r="S1966">
            <v>2</v>
          </cell>
        </row>
        <row r="1967">
          <cell r="M1967" t="str">
            <v>副入</v>
          </cell>
        </row>
        <row r="1967">
          <cell r="S1967">
            <v>-200.27</v>
          </cell>
        </row>
        <row r="1968">
          <cell r="M1968" t="str">
            <v>晚餐</v>
          </cell>
        </row>
        <row r="1968">
          <cell r="S1968">
            <v>10</v>
          </cell>
        </row>
        <row r="1969">
          <cell r="M1969" t="str">
            <v>小资</v>
          </cell>
        </row>
        <row r="1969">
          <cell r="R1969" t="str">
            <v>吃喝</v>
          </cell>
          <cell r="S1969">
            <v>9.4</v>
          </cell>
        </row>
        <row r="1970">
          <cell r="M1970" t="str">
            <v>日用</v>
          </cell>
        </row>
        <row r="1970">
          <cell r="S1970">
            <v>4</v>
          </cell>
        </row>
        <row r="1971">
          <cell r="M1971" t="str">
            <v>早餐</v>
          </cell>
        </row>
        <row r="1971">
          <cell r="S1971">
            <v>5</v>
          </cell>
        </row>
        <row r="1972">
          <cell r="M1972" t="str">
            <v>会员</v>
          </cell>
        </row>
        <row r="1972">
          <cell r="S1972">
            <v>20</v>
          </cell>
        </row>
        <row r="1973">
          <cell r="M1973" t="str">
            <v>日用</v>
          </cell>
        </row>
        <row r="1973">
          <cell r="S1973">
            <v>0.99</v>
          </cell>
        </row>
        <row r="1974">
          <cell r="M1974" t="str">
            <v>小资</v>
          </cell>
        </row>
        <row r="1974">
          <cell r="R1974" t="str">
            <v>城内</v>
          </cell>
          <cell r="S1974">
            <v>28.97</v>
          </cell>
        </row>
        <row r="1975">
          <cell r="M1975" t="str">
            <v>早餐</v>
          </cell>
        </row>
        <row r="1975">
          <cell r="S1975">
            <v>2</v>
          </cell>
        </row>
        <row r="1976">
          <cell r="M1976" t="str">
            <v>早餐</v>
          </cell>
        </row>
        <row r="1976">
          <cell r="S1976">
            <v>8</v>
          </cell>
        </row>
        <row r="1977">
          <cell r="M1977" t="str">
            <v>早餐</v>
          </cell>
        </row>
        <row r="1977">
          <cell r="S1977">
            <v>2</v>
          </cell>
        </row>
        <row r="1978">
          <cell r="M1978" t="str">
            <v>晚餐</v>
          </cell>
        </row>
        <row r="1978">
          <cell r="S1978">
            <v>38</v>
          </cell>
        </row>
        <row r="1979">
          <cell r="M1979" t="str">
            <v>日用</v>
          </cell>
        </row>
        <row r="1979">
          <cell r="S1979">
            <v>-124.2</v>
          </cell>
        </row>
        <row r="1980">
          <cell r="M1980" t="str">
            <v>早餐</v>
          </cell>
        </row>
        <row r="1980">
          <cell r="S1980">
            <v>10</v>
          </cell>
        </row>
        <row r="1981">
          <cell r="M1981" t="str">
            <v>会员</v>
          </cell>
        </row>
        <row r="1981">
          <cell r="S1981">
            <v>15</v>
          </cell>
        </row>
        <row r="1982">
          <cell r="M1982" t="str">
            <v>会员</v>
          </cell>
        </row>
        <row r="1982">
          <cell r="S1982">
            <v>15</v>
          </cell>
        </row>
        <row r="1983">
          <cell r="M1983" t="str">
            <v>晚餐</v>
          </cell>
        </row>
        <row r="1983">
          <cell r="S1983">
            <v>18</v>
          </cell>
        </row>
        <row r="1984">
          <cell r="M1984" t="str">
            <v>小资</v>
          </cell>
        </row>
        <row r="1984">
          <cell r="R1984" t="str">
            <v>城内</v>
          </cell>
          <cell r="S1984">
            <v>19.8</v>
          </cell>
        </row>
        <row r="1985">
          <cell r="M1985" t="str">
            <v>小资</v>
          </cell>
        </row>
        <row r="1985">
          <cell r="R1985" t="str">
            <v>城内</v>
          </cell>
          <cell r="S1985">
            <v>19.1</v>
          </cell>
        </row>
        <row r="1986">
          <cell r="M1986" t="str">
            <v>小资</v>
          </cell>
        </row>
        <row r="1986">
          <cell r="R1986" t="str">
            <v>吃喝</v>
          </cell>
          <cell r="S1986">
            <v>8</v>
          </cell>
        </row>
        <row r="1987">
          <cell r="M1987" t="str">
            <v>小资</v>
          </cell>
        </row>
        <row r="1987">
          <cell r="R1987" t="str">
            <v>吃喝</v>
          </cell>
          <cell r="S1987">
            <v>24</v>
          </cell>
        </row>
        <row r="1988">
          <cell r="M1988" t="str">
            <v>小资</v>
          </cell>
        </row>
        <row r="1988">
          <cell r="R1988" t="str">
            <v>城内</v>
          </cell>
          <cell r="S1988">
            <v>6.8</v>
          </cell>
        </row>
        <row r="1989">
          <cell r="M1989" t="str">
            <v>小资</v>
          </cell>
        </row>
        <row r="1989">
          <cell r="R1989" t="str">
            <v>城内</v>
          </cell>
          <cell r="S1989">
            <v>6.9</v>
          </cell>
        </row>
        <row r="1990">
          <cell r="M1990" t="str">
            <v>小资</v>
          </cell>
        </row>
        <row r="1990">
          <cell r="R1990" t="str">
            <v>吃喝</v>
          </cell>
          <cell r="S1990">
            <v>20</v>
          </cell>
        </row>
        <row r="1991">
          <cell r="M1991" t="str">
            <v>小资</v>
          </cell>
        </row>
        <row r="1991">
          <cell r="R1991" t="str">
            <v>吃喝</v>
          </cell>
          <cell r="S1991">
            <v>10</v>
          </cell>
        </row>
        <row r="1992">
          <cell r="M1992" t="str">
            <v>小资</v>
          </cell>
        </row>
        <row r="1992">
          <cell r="R1992" t="str">
            <v>女人</v>
          </cell>
          <cell r="S1992">
            <v>600</v>
          </cell>
        </row>
        <row r="1993">
          <cell r="M1993" t="str">
            <v>话费</v>
          </cell>
        </row>
        <row r="1993">
          <cell r="S1993">
            <v>-40</v>
          </cell>
        </row>
        <row r="1994">
          <cell r="M1994" t="str">
            <v>话费</v>
          </cell>
        </row>
        <row r="1994">
          <cell r="S1994">
            <v>50</v>
          </cell>
        </row>
        <row r="1995">
          <cell r="M1995" t="str">
            <v>晚餐</v>
          </cell>
        </row>
        <row r="1995">
          <cell r="S1995">
            <v>10</v>
          </cell>
        </row>
        <row r="1996">
          <cell r="M1996" t="str">
            <v>日用</v>
          </cell>
        </row>
        <row r="1996">
          <cell r="S1996">
            <v>9</v>
          </cell>
        </row>
        <row r="1997">
          <cell r="M1997" t="str">
            <v>收回债权</v>
          </cell>
        </row>
        <row r="1997">
          <cell r="S1997">
            <v>-1500</v>
          </cell>
        </row>
        <row r="1998">
          <cell r="M1998" t="str">
            <v>小资</v>
          </cell>
        </row>
        <row r="1998">
          <cell r="R1998" t="str">
            <v>城内</v>
          </cell>
          <cell r="S1998">
            <v>27.9</v>
          </cell>
        </row>
        <row r="1999">
          <cell r="M1999" t="str">
            <v>早餐</v>
          </cell>
        </row>
        <row r="1999">
          <cell r="S1999">
            <v>5</v>
          </cell>
        </row>
        <row r="2000">
          <cell r="M2000" t="str">
            <v>日用</v>
          </cell>
        </row>
        <row r="2000">
          <cell r="S2000">
            <v>58</v>
          </cell>
        </row>
        <row r="2001">
          <cell r="M2001" t="str">
            <v>社交</v>
          </cell>
        </row>
        <row r="2001">
          <cell r="S2001">
            <v>300</v>
          </cell>
        </row>
        <row r="2002">
          <cell r="M2002" t="str">
            <v>社交</v>
          </cell>
        </row>
        <row r="2002">
          <cell r="S2002">
            <v>36</v>
          </cell>
        </row>
        <row r="2003">
          <cell r="M2003" t="str">
            <v>社交</v>
          </cell>
        </row>
        <row r="2003">
          <cell r="S2003">
            <v>11.9</v>
          </cell>
        </row>
        <row r="2004">
          <cell r="M2004" t="str">
            <v>社交</v>
          </cell>
        </row>
        <row r="2004">
          <cell r="S2004">
            <v>11</v>
          </cell>
        </row>
        <row r="2005">
          <cell r="M2005" t="str">
            <v>社交</v>
          </cell>
        </row>
        <row r="2005">
          <cell r="S2005">
            <v>147</v>
          </cell>
        </row>
        <row r="2006">
          <cell r="M2006" t="str">
            <v>早餐</v>
          </cell>
        </row>
        <row r="2006">
          <cell r="S2006">
            <v>2</v>
          </cell>
        </row>
        <row r="2007">
          <cell r="M2007" t="str">
            <v>会员</v>
          </cell>
        </row>
        <row r="2007">
          <cell r="S2007">
            <v>8</v>
          </cell>
        </row>
        <row r="2008">
          <cell r="M2008" t="str">
            <v>日用</v>
          </cell>
        </row>
        <row r="2008">
          <cell r="S2008">
            <v>2</v>
          </cell>
        </row>
        <row r="2009">
          <cell r="M2009" t="str">
            <v>晚餐</v>
          </cell>
        </row>
        <row r="2009">
          <cell r="S2009">
            <v>10</v>
          </cell>
        </row>
        <row r="2010">
          <cell r="M2010" t="str">
            <v>小资</v>
          </cell>
        </row>
        <row r="2010">
          <cell r="R2010" t="str">
            <v>吃喝</v>
          </cell>
          <cell r="S2010">
            <v>9</v>
          </cell>
        </row>
        <row r="2011">
          <cell r="M2011" t="str">
            <v>小资</v>
          </cell>
        </row>
        <row r="2011">
          <cell r="R2011" t="str">
            <v>吃喝</v>
          </cell>
          <cell r="S2011">
            <v>5</v>
          </cell>
        </row>
        <row r="2012">
          <cell r="M2012" t="str">
            <v>早餐</v>
          </cell>
        </row>
        <row r="2012">
          <cell r="S2012">
            <v>5</v>
          </cell>
        </row>
        <row r="2013">
          <cell r="M2013" t="str">
            <v>早餐</v>
          </cell>
        </row>
        <row r="2013">
          <cell r="S2013">
            <v>4</v>
          </cell>
        </row>
        <row r="2014">
          <cell r="M2014" t="str">
            <v>社交</v>
          </cell>
        </row>
        <row r="2014">
          <cell r="S2014">
            <v>16</v>
          </cell>
        </row>
        <row r="2015">
          <cell r="M2015" t="str">
            <v>社交</v>
          </cell>
        </row>
        <row r="2015">
          <cell r="S2015">
            <v>35</v>
          </cell>
        </row>
        <row r="2016">
          <cell r="M2016" t="str">
            <v>社交</v>
          </cell>
        </row>
        <row r="2016">
          <cell r="S2016">
            <v>30</v>
          </cell>
        </row>
        <row r="2017">
          <cell r="M2017" t="str">
            <v>早餐</v>
          </cell>
        </row>
        <row r="2017">
          <cell r="S2017">
            <v>10</v>
          </cell>
        </row>
        <row r="2018">
          <cell r="M2018" t="str">
            <v>晚餐</v>
          </cell>
        </row>
        <row r="2018">
          <cell r="S2018">
            <v>50</v>
          </cell>
        </row>
        <row r="2019">
          <cell r="M2019" t="str">
            <v>话费</v>
          </cell>
        </row>
        <row r="2019">
          <cell r="S2019">
            <v>100</v>
          </cell>
        </row>
        <row r="2020">
          <cell r="M2020" t="str">
            <v>早餐</v>
          </cell>
        </row>
        <row r="2020">
          <cell r="S2020">
            <v>2</v>
          </cell>
        </row>
        <row r="2021">
          <cell r="M2021" t="str">
            <v>早餐</v>
          </cell>
        </row>
        <row r="2021">
          <cell r="S2021">
            <v>2</v>
          </cell>
        </row>
        <row r="2022">
          <cell r="M2022" t="str">
            <v>房租</v>
          </cell>
        </row>
        <row r="2022">
          <cell r="S2022">
            <v>430</v>
          </cell>
        </row>
        <row r="2023">
          <cell r="M2023" t="str">
            <v>社交</v>
          </cell>
        </row>
        <row r="2023">
          <cell r="S2023">
            <v>39.6</v>
          </cell>
        </row>
        <row r="2024">
          <cell r="M2024" t="str">
            <v>会员</v>
          </cell>
        </row>
        <row r="2024">
          <cell r="S2024">
            <v>15</v>
          </cell>
        </row>
        <row r="2025">
          <cell r="M2025" t="str">
            <v>早餐</v>
          </cell>
        </row>
        <row r="2025">
          <cell r="S2025">
            <v>10</v>
          </cell>
        </row>
        <row r="2026">
          <cell r="M2026" t="str">
            <v>晚餐</v>
          </cell>
        </row>
        <row r="2026">
          <cell r="S2026">
            <v>15</v>
          </cell>
        </row>
        <row r="2027">
          <cell r="M2027" t="str">
            <v>早餐</v>
          </cell>
        </row>
        <row r="2027">
          <cell r="S2027">
            <v>2</v>
          </cell>
        </row>
        <row r="2028">
          <cell r="M2028" t="str">
            <v>社交</v>
          </cell>
        </row>
        <row r="2028">
          <cell r="S2028">
            <v>54</v>
          </cell>
        </row>
        <row r="2029">
          <cell r="M2029" t="str">
            <v>早餐</v>
          </cell>
        </row>
        <row r="2029">
          <cell r="S2029">
            <v>2</v>
          </cell>
        </row>
        <row r="2030">
          <cell r="M2030" t="str">
            <v>社交</v>
          </cell>
        </row>
        <row r="2030">
          <cell r="S2030">
            <v>33</v>
          </cell>
        </row>
        <row r="2031">
          <cell r="M2031" t="str">
            <v>社交</v>
          </cell>
        </row>
        <row r="2031">
          <cell r="S2031">
            <v>10.39</v>
          </cell>
        </row>
        <row r="2032">
          <cell r="M2032" t="str">
            <v>社交</v>
          </cell>
        </row>
        <row r="2032">
          <cell r="S2032">
            <v>4.3</v>
          </cell>
        </row>
        <row r="2033">
          <cell r="M2033" t="str">
            <v>社交</v>
          </cell>
        </row>
        <row r="2033">
          <cell r="S2033">
            <v>48.9</v>
          </cell>
        </row>
        <row r="2034">
          <cell r="M2034" t="str">
            <v>恋爱</v>
          </cell>
        </row>
        <row r="2034">
          <cell r="R2034" t="str">
            <v>礼物</v>
          </cell>
          <cell r="S2034">
            <v>206</v>
          </cell>
        </row>
        <row r="2035">
          <cell r="M2035" t="str">
            <v>恋爱</v>
          </cell>
        </row>
        <row r="2035">
          <cell r="R2035" t="str">
            <v>吃喝</v>
          </cell>
          <cell r="S2035">
            <v>20.02</v>
          </cell>
        </row>
        <row r="2036">
          <cell r="M2036" t="str">
            <v>早餐</v>
          </cell>
        </row>
        <row r="2036">
          <cell r="S2036">
            <v>10</v>
          </cell>
        </row>
        <row r="2037">
          <cell r="M2037" t="str">
            <v>工资</v>
          </cell>
        </row>
        <row r="2037">
          <cell r="S2037">
            <v>-22000</v>
          </cell>
        </row>
        <row r="2038">
          <cell r="M2038" t="str">
            <v>日用</v>
          </cell>
        </row>
        <row r="2038">
          <cell r="S2038">
            <v>2</v>
          </cell>
        </row>
        <row r="2039">
          <cell r="M2039" t="str">
            <v>话费</v>
          </cell>
        </row>
        <row r="2039">
          <cell r="S2039">
            <v>50</v>
          </cell>
        </row>
        <row r="2040">
          <cell r="M2040" t="str">
            <v>早餐</v>
          </cell>
        </row>
        <row r="2040">
          <cell r="S2040">
            <v>8</v>
          </cell>
        </row>
        <row r="2041">
          <cell r="M2041" t="str">
            <v>恋爱</v>
          </cell>
        </row>
        <row r="2041">
          <cell r="R2041" t="str">
            <v>礼物</v>
          </cell>
          <cell r="S2041">
            <v>5000</v>
          </cell>
        </row>
        <row r="2042">
          <cell r="M2042" t="str">
            <v>个人还款</v>
          </cell>
        </row>
        <row r="2042">
          <cell r="R2042" t="str">
            <v>谢圆圆</v>
          </cell>
          <cell r="S2042">
            <v>15000</v>
          </cell>
        </row>
        <row r="2043">
          <cell r="M2043" t="str">
            <v>会员</v>
          </cell>
        </row>
        <row r="2043">
          <cell r="S2043">
            <v>6</v>
          </cell>
        </row>
        <row r="2044">
          <cell r="M2044" t="str">
            <v>恋爱</v>
          </cell>
        </row>
        <row r="2044">
          <cell r="R2044" t="str">
            <v>城际</v>
          </cell>
          <cell r="S2044">
            <v>528.5</v>
          </cell>
        </row>
        <row r="2045">
          <cell r="M2045" t="str">
            <v>恋爱</v>
          </cell>
        </row>
        <row r="2045">
          <cell r="R2045" t="str">
            <v>城际</v>
          </cell>
          <cell r="S2045">
            <v>502</v>
          </cell>
        </row>
        <row r="2046">
          <cell r="M2046" t="str">
            <v>日用</v>
          </cell>
        </row>
        <row r="2046">
          <cell r="S2046">
            <v>79</v>
          </cell>
        </row>
        <row r="2047">
          <cell r="M2047" t="str">
            <v>社交</v>
          </cell>
        </row>
        <row r="2047">
          <cell r="S2047">
            <v>22.6</v>
          </cell>
        </row>
        <row r="2048">
          <cell r="M2048" t="str">
            <v>日用</v>
          </cell>
        </row>
        <row r="2048">
          <cell r="S2048">
            <v>43.9</v>
          </cell>
        </row>
        <row r="2049">
          <cell r="M2049" t="str">
            <v>早餐</v>
          </cell>
        </row>
        <row r="2049">
          <cell r="S2049">
            <v>7</v>
          </cell>
        </row>
        <row r="2050">
          <cell r="M2050" t="str">
            <v>晚餐</v>
          </cell>
        </row>
        <row r="2050">
          <cell r="S2050">
            <v>15</v>
          </cell>
        </row>
        <row r="2051">
          <cell r="M2051" t="str">
            <v>话费</v>
          </cell>
        </row>
        <row r="2051">
          <cell r="S2051">
            <v>50</v>
          </cell>
        </row>
        <row r="2052">
          <cell r="M2052" t="str">
            <v>会员</v>
          </cell>
        </row>
        <row r="2052">
          <cell r="S2052">
            <v>19</v>
          </cell>
        </row>
        <row r="2053">
          <cell r="M2053" t="str">
            <v>小资</v>
          </cell>
        </row>
        <row r="2053">
          <cell r="R2053" t="str">
            <v>吃喝</v>
          </cell>
          <cell r="S2053">
            <v>8</v>
          </cell>
        </row>
        <row r="2054">
          <cell r="M2054" t="str">
            <v>小资</v>
          </cell>
        </row>
        <row r="2054">
          <cell r="R2054" t="str">
            <v>吃喝</v>
          </cell>
          <cell r="S2054">
            <v>10</v>
          </cell>
        </row>
        <row r="2055">
          <cell r="M2055" t="str">
            <v>会员</v>
          </cell>
        </row>
        <row r="2055">
          <cell r="S2055">
            <v>30</v>
          </cell>
        </row>
        <row r="2056">
          <cell r="M2056" t="str">
            <v>早餐</v>
          </cell>
        </row>
        <row r="2056">
          <cell r="S2056">
            <v>2</v>
          </cell>
        </row>
        <row r="2057">
          <cell r="M2057" t="str">
            <v>社交</v>
          </cell>
        </row>
        <row r="2057">
          <cell r="S2057">
            <v>29</v>
          </cell>
        </row>
        <row r="2058">
          <cell r="M2058" t="str">
            <v>收回债权</v>
          </cell>
        </row>
        <row r="2058">
          <cell r="S2058">
            <v>-5000</v>
          </cell>
        </row>
        <row r="2059">
          <cell r="M2059" t="str">
            <v>早餐</v>
          </cell>
        </row>
        <row r="2059">
          <cell r="S2059">
            <v>3.5</v>
          </cell>
        </row>
        <row r="2060">
          <cell r="M2060" t="str">
            <v>日用</v>
          </cell>
        </row>
        <row r="2060">
          <cell r="S2060">
            <v>2</v>
          </cell>
        </row>
        <row r="2061">
          <cell r="M2061" t="str">
            <v>日用</v>
          </cell>
        </row>
        <row r="2061">
          <cell r="S2061">
            <v>2</v>
          </cell>
        </row>
        <row r="2062">
          <cell r="M2062" t="str">
            <v>社交</v>
          </cell>
        </row>
        <row r="2062">
          <cell r="S2062">
            <v>17.6</v>
          </cell>
        </row>
        <row r="2063">
          <cell r="M2063" t="str">
            <v>日用</v>
          </cell>
        </row>
        <row r="2063">
          <cell r="S2063">
            <v>30</v>
          </cell>
        </row>
        <row r="2064">
          <cell r="M2064" t="str">
            <v>日用</v>
          </cell>
        </row>
        <row r="2064">
          <cell r="S2064">
            <v>26.09</v>
          </cell>
        </row>
        <row r="2065">
          <cell r="M2065" t="str">
            <v>早餐</v>
          </cell>
        </row>
        <row r="2065">
          <cell r="S2065">
            <v>15</v>
          </cell>
        </row>
        <row r="2066">
          <cell r="M2066" t="str">
            <v>恋爱</v>
          </cell>
        </row>
        <row r="2066">
          <cell r="R2066" t="str">
            <v>城内</v>
          </cell>
          <cell r="S2066">
            <v>4.3</v>
          </cell>
        </row>
        <row r="2067">
          <cell r="M2067" t="str">
            <v>恋爱</v>
          </cell>
        </row>
        <row r="2067">
          <cell r="R2067" t="str">
            <v>吃喝</v>
          </cell>
          <cell r="S2067">
            <v>4</v>
          </cell>
        </row>
        <row r="2068">
          <cell r="M2068" t="str">
            <v>小资</v>
          </cell>
        </row>
        <row r="2068">
          <cell r="R2068" t="str">
            <v>游玩</v>
          </cell>
          <cell r="S2068">
            <v>120</v>
          </cell>
        </row>
        <row r="2069">
          <cell r="M2069" t="str">
            <v>恋爱</v>
          </cell>
        </row>
        <row r="2069">
          <cell r="R2069" t="str">
            <v>城内</v>
          </cell>
          <cell r="S2069">
            <v>7</v>
          </cell>
        </row>
        <row r="2070">
          <cell r="M2070" t="str">
            <v>恋爱</v>
          </cell>
        </row>
        <row r="2070">
          <cell r="R2070" t="str">
            <v>住宿</v>
          </cell>
          <cell r="S2070">
            <v>155</v>
          </cell>
        </row>
        <row r="2071">
          <cell r="M2071" t="str">
            <v>恋爱</v>
          </cell>
        </row>
        <row r="2071">
          <cell r="R2071" t="str">
            <v>吃喝</v>
          </cell>
          <cell r="S2071">
            <v>182</v>
          </cell>
        </row>
        <row r="2072">
          <cell r="M2072" t="str">
            <v>恋爱</v>
          </cell>
        </row>
        <row r="2072">
          <cell r="R2072" t="str">
            <v>吃喝</v>
          </cell>
          <cell r="S2072">
            <v>8.4</v>
          </cell>
        </row>
        <row r="2073">
          <cell r="M2073" t="str">
            <v>恋爱</v>
          </cell>
        </row>
        <row r="2073">
          <cell r="R2073" t="str">
            <v>城内</v>
          </cell>
          <cell r="S2073">
            <v>16.5</v>
          </cell>
        </row>
        <row r="2074">
          <cell r="M2074" t="str">
            <v>恋爱</v>
          </cell>
        </row>
        <row r="2074">
          <cell r="R2074" t="str">
            <v>吃喝</v>
          </cell>
          <cell r="S2074">
            <v>68</v>
          </cell>
        </row>
        <row r="2075">
          <cell r="M2075" t="str">
            <v>恋爱</v>
          </cell>
        </row>
        <row r="2075">
          <cell r="R2075" t="str">
            <v>城内</v>
          </cell>
          <cell r="S2075">
            <v>10.78</v>
          </cell>
        </row>
        <row r="2076">
          <cell r="M2076" t="str">
            <v>恋爱</v>
          </cell>
        </row>
        <row r="2076">
          <cell r="R2076" t="str">
            <v>住宿</v>
          </cell>
          <cell r="S2076">
            <v>287</v>
          </cell>
        </row>
        <row r="2077">
          <cell r="M2077" t="str">
            <v>恋爱</v>
          </cell>
        </row>
        <row r="2077">
          <cell r="R2077" t="str">
            <v>吃喝</v>
          </cell>
          <cell r="S2077">
            <v>30.71</v>
          </cell>
        </row>
        <row r="2078">
          <cell r="M2078" t="str">
            <v>恋爱</v>
          </cell>
        </row>
        <row r="2078">
          <cell r="R2078" t="str">
            <v>吃喝</v>
          </cell>
          <cell r="S2078">
            <v>376</v>
          </cell>
        </row>
        <row r="2079">
          <cell r="M2079" t="str">
            <v>恋爱</v>
          </cell>
        </row>
        <row r="2079">
          <cell r="R2079" t="str">
            <v>住宿</v>
          </cell>
          <cell r="S2079">
            <v>289</v>
          </cell>
        </row>
        <row r="2080">
          <cell r="M2080" t="str">
            <v>恋爱</v>
          </cell>
        </row>
        <row r="2080">
          <cell r="R2080" t="str">
            <v>吃喝</v>
          </cell>
          <cell r="S2080">
            <v>82</v>
          </cell>
        </row>
        <row r="2081">
          <cell r="M2081" t="str">
            <v>恋爱</v>
          </cell>
        </row>
        <row r="2081">
          <cell r="R2081" t="str">
            <v>游玩</v>
          </cell>
          <cell r="S2081">
            <v>300</v>
          </cell>
        </row>
        <row r="2082">
          <cell r="M2082" t="str">
            <v>日用</v>
          </cell>
        </row>
        <row r="2082">
          <cell r="S2082">
            <v>9</v>
          </cell>
        </row>
        <row r="2083">
          <cell r="M2083" t="str">
            <v>恋爱</v>
          </cell>
        </row>
        <row r="2083">
          <cell r="R2083" t="str">
            <v>吃喝</v>
          </cell>
          <cell r="S2083">
            <v>79</v>
          </cell>
        </row>
        <row r="2084">
          <cell r="M2084" t="str">
            <v>话费</v>
          </cell>
        </row>
        <row r="2084">
          <cell r="S2084">
            <v>-40</v>
          </cell>
        </row>
        <row r="2085">
          <cell r="M2085" t="str">
            <v>话费</v>
          </cell>
        </row>
        <row r="2085">
          <cell r="S2085">
            <v>100</v>
          </cell>
        </row>
        <row r="2086">
          <cell r="M2086" t="str">
            <v>恋爱</v>
          </cell>
        </row>
        <row r="2086">
          <cell r="R2086" t="str">
            <v>城际</v>
          </cell>
          <cell r="S2086">
            <v>120</v>
          </cell>
        </row>
        <row r="2087">
          <cell r="M2087" t="str">
            <v>恋爱</v>
          </cell>
        </row>
        <row r="2087">
          <cell r="R2087" t="str">
            <v>城内</v>
          </cell>
          <cell r="S2087">
            <v>23.4</v>
          </cell>
        </row>
        <row r="2088">
          <cell r="M2088" t="str">
            <v>早餐</v>
          </cell>
        </row>
        <row r="2088">
          <cell r="S2088">
            <v>5</v>
          </cell>
        </row>
        <row r="2089">
          <cell r="M2089" t="str">
            <v>会员</v>
          </cell>
        </row>
        <row r="2089">
          <cell r="S2089">
            <v>15</v>
          </cell>
        </row>
        <row r="2090">
          <cell r="M2090" t="str">
            <v>早餐</v>
          </cell>
        </row>
        <row r="2090">
          <cell r="S2090">
            <v>54</v>
          </cell>
        </row>
        <row r="2091">
          <cell r="M2091" t="str">
            <v>会员</v>
          </cell>
        </row>
        <row r="2091">
          <cell r="S2091">
            <v>15</v>
          </cell>
        </row>
        <row r="2092">
          <cell r="M2092" t="str">
            <v>社交</v>
          </cell>
        </row>
        <row r="2092">
          <cell r="S2092">
            <v>53</v>
          </cell>
        </row>
        <row r="2093">
          <cell r="M2093" t="str">
            <v>早餐</v>
          </cell>
        </row>
        <row r="2093">
          <cell r="S2093">
            <v>5</v>
          </cell>
        </row>
        <row r="2094">
          <cell r="M2094" t="str">
            <v>早餐</v>
          </cell>
        </row>
        <row r="2094">
          <cell r="S2094">
            <v>10</v>
          </cell>
        </row>
        <row r="2095">
          <cell r="M2095" t="str">
            <v>出行</v>
          </cell>
        </row>
        <row r="2095">
          <cell r="S2095">
            <v>3</v>
          </cell>
        </row>
        <row r="2096">
          <cell r="M2096" t="str">
            <v>早餐</v>
          </cell>
        </row>
        <row r="2096">
          <cell r="S2096">
            <v>14</v>
          </cell>
        </row>
        <row r="2097">
          <cell r="M2097" t="str">
            <v>小资</v>
          </cell>
        </row>
        <row r="2097">
          <cell r="R2097" t="str">
            <v>吃喝</v>
          </cell>
          <cell r="S2097">
            <v>9</v>
          </cell>
        </row>
        <row r="2098">
          <cell r="M2098" t="str">
            <v>日用</v>
          </cell>
        </row>
        <row r="2098">
          <cell r="S2098">
            <v>50</v>
          </cell>
        </row>
        <row r="2099">
          <cell r="M2099" t="str">
            <v>小资</v>
          </cell>
        </row>
        <row r="2099">
          <cell r="R2099" t="str">
            <v>城内</v>
          </cell>
          <cell r="S2099">
            <v>4.6</v>
          </cell>
        </row>
        <row r="2100">
          <cell r="M2100" t="str">
            <v>小资</v>
          </cell>
        </row>
        <row r="2100">
          <cell r="R2100" t="str">
            <v>游玩</v>
          </cell>
          <cell r="S2100">
            <v>80</v>
          </cell>
        </row>
        <row r="2101">
          <cell r="M2101" t="str">
            <v>小资</v>
          </cell>
        </row>
        <row r="2101">
          <cell r="R2101" t="str">
            <v>城内</v>
          </cell>
          <cell r="S2101">
            <v>10.59</v>
          </cell>
        </row>
        <row r="2102">
          <cell r="M2102" t="str">
            <v>小资</v>
          </cell>
        </row>
        <row r="2102">
          <cell r="R2102" t="str">
            <v>吃喝</v>
          </cell>
          <cell r="S2102">
            <v>3</v>
          </cell>
        </row>
        <row r="2103">
          <cell r="M2103" t="str">
            <v>小资</v>
          </cell>
        </row>
        <row r="2103">
          <cell r="R2103" t="str">
            <v>吃喝</v>
          </cell>
          <cell r="S2103">
            <v>78</v>
          </cell>
        </row>
        <row r="2104">
          <cell r="M2104" t="str">
            <v>小资</v>
          </cell>
        </row>
        <row r="2104">
          <cell r="R2104" t="str">
            <v>吃喝</v>
          </cell>
          <cell r="S2104">
            <v>6</v>
          </cell>
        </row>
        <row r="2105">
          <cell r="M2105" t="str">
            <v>小资</v>
          </cell>
        </row>
        <row r="2105">
          <cell r="R2105" t="str">
            <v>城内</v>
          </cell>
          <cell r="S2105">
            <v>4.5</v>
          </cell>
        </row>
        <row r="2106">
          <cell r="M2106" t="str">
            <v>小资</v>
          </cell>
        </row>
        <row r="2106">
          <cell r="R2106" t="str">
            <v>城内</v>
          </cell>
          <cell r="S2106">
            <v>26.2</v>
          </cell>
        </row>
        <row r="2107">
          <cell r="M2107" t="str">
            <v>话费</v>
          </cell>
        </row>
        <row r="2107">
          <cell r="S2107">
            <v>100</v>
          </cell>
        </row>
        <row r="2108">
          <cell r="M2108" t="str">
            <v>会员</v>
          </cell>
        </row>
        <row r="2108">
          <cell r="S2108">
            <v>8</v>
          </cell>
        </row>
        <row r="2109">
          <cell r="M2109" t="str">
            <v>小资</v>
          </cell>
        </row>
        <row r="2109">
          <cell r="R2109" t="str">
            <v>吃喝</v>
          </cell>
          <cell r="S2109">
            <v>8.5</v>
          </cell>
        </row>
        <row r="2110">
          <cell r="M2110" t="str">
            <v>日用</v>
          </cell>
        </row>
        <row r="2110">
          <cell r="S2110">
            <v>2</v>
          </cell>
        </row>
        <row r="2111">
          <cell r="M2111" t="str">
            <v>保山</v>
          </cell>
        </row>
        <row r="2111">
          <cell r="S2111">
            <v>133.6</v>
          </cell>
        </row>
        <row r="2112">
          <cell r="M2112" t="str">
            <v>日用</v>
          </cell>
        </row>
        <row r="2112">
          <cell r="S2112">
            <v>279.8</v>
          </cell>
        </row>
        <row r="2113">
          <cell r="M2113" t="str">
            <v>保山</v>
          </cell>
        </row>
        <row r="2113">
          <cell r="S2113">
            <v>1149.4</v>
          </cell>
        </row>
        <row r="2114">
          <cell r="M2114" t="str">
            <v>日用</v>
          </cell>
        </row>
        <row r="2114">
          <cell r="S2114">
            <v>29.9</v>
          </cell>
        </row>
        <row r="2115">
          <cell r="M2115" t="str">
            <v>养育</v>
          </cell>
        </row>
        <row r="2115">
          <cell r="S2115">
            <v>693</v>
          </cell>
        </row>
        <row r="2116">
          <cell r="M2116" t="str">
            <v>早餐</v>
          </cell>
        </row>
        <row r="2116">
          <cell r="S2116">
            <v>2</v>
          </cell>
        </row>
        <row r="2117">
          <cell r="M2117" t="str">
            <v>日用</v>
          </cell>
        </row>
        <row r="2117">
          <cell r="S2117">
            <v>-1.27</v>
          </cell>
        </row>
        <row r="2118">
          <cell r="M2118" t="str">
            <v>早餐</v>
          </cell>
        </row>
        <row r="2118">
          <cell r="S2118">
            <v>5</v>
          </cell>
        </row>
        <row r="2119">
          <cell r="M2119" t="str">
            <v>早餐</v>
          </cell>
        </row>
        <row r="2119">
          <cell r="S2119">
            <v>2</v>
          </cell>
        </row>
        <row r="2120">
          <cell r="M2120" t="str">
            <v>日用</v>
          </cell>
        </row>
        <row r="2120">
          <cell r="S2120">
            <v>4</v>
          </cell>
        </row>
        <row r="2121">
          <cell r="M2121" t="str">
            <v>日用</v>
          </cell>
        </row>
        <row r="2121">
          <cell r="S2121">
            <v>10</v>
          </cell>
        </row>
        <row r="2122">
          <cell r="M2122" t="str">
            <v>早餐</v>
          </cell>
        </row>
        <row r="2122">
          <cell r="S2122">
            <v>2</v>
          </cell>
        </row>
        <row r="2123">
          <cell r="M2123" t="str">
            <v>早餐</v>
          </cell>
        </row>
        <row r="2123">
          <cell r="S2123">
            <v>8</v>
          </cell>
        </row>
        <row r="2124">
          <cell r="M2124" t="str">
            <v>会员</v>
          </cell>
        </row>
        <row r="2124">
          <cell r="S2124">
            <v>15</v>
          </cell>
        </row>
        <row r="2125">
          <cell r="M2125" t="str">
            <v>工资</v>
          </cell>
        </row>
        <row r="2125">
          <cell r="S2125">
            <v>-22000</v>
          </cell>
        </row>
        <row r="2126">
          <cell r="M2126" t="str">
            <v>房租</v>
          </cell>
        </row>
        <row r="2126">
          <cell r="S2126">
            <v>430</v>
          </cell>
        </row>
        <row r="2127">
          <cell r="M2127" t="str">
            <v>早餐</v>
          </cell>
        </row>
        <row r="2127">
          <cell r="S2127">
            <v>2</v>
          </cell>
        </row>
        <row r="2128">
          <cell r="M2128" t="str">
            <v>小资</v>
          </cell>
        </row>
        <row r="2128">
          <cell r="R2128" t="str">
            <v>吃喝</v>
          </cell>
          <cell r="S2128">
            <v>63.9</v>
          </cell>
        </row>
        <row r="2129">
          <cell r="M2129" t="str">
            <v>保山</v>
          </cell>
        </row>
        <row r="2129">
          <cell r="S2129">
            <v>148.2</v>
          </cell>
        </row>
        <row r="2130">
          <cell r="M2130" t="str">
            <v>小资</v>
          </cell>
        </row>
        <row r="2130">
          <cell r="R2130" t="str">
            <v>吃喝</v>
          </cell>
          <cell r="S2130">
            <v>66</v>
          </cell>
        </row>
        <row r="2131">
          <cell r="M2131" t="str">
            <v>小资</v>
          </cell>
        </row>
        <row r="2131">
          <cell r="R2131" t="str">
            <v>吃喝</v>
          </cell>
          <cell r="S2131">
            <v>53.4</v>
          </cell>
        </row>
        <row r="2132">
          <cell r="M2132" t="str">
            <v>小资</v>
          </cell>
        </row>
        <row r="2132">
          <cell r="R2132" t="str">
            <v>吃喝</v>
          </cell>
          <cell r="S2132">
            <v>25.3</v>
          </cell>
        </row>
        <row r="2133">
          <cell r="M2133" t="str">
            <v>小资</v>
          </cell>
        </row>
        <row r="2133">
          <cell r="R2133" t="str">
            <v>吃喝</v>
          </cell>
          <cell r="S2133">
            <v>52.65</v>
          </cell>
        </row>
        <row r="2134">
          <cell r="M2134" t="str">
            <v>小资</v>
          </cell>
        </row>
        <row r="2134">
          <cell r="R2134" t="str">
            <v>吃喝</v>
          </cell>
          <cell r="S2134">
            <v>27.27</v>
          </cell>
        </row>
        <row r="2135">
          <cell r="M2135" t="str">
            <v>课程</v>
          </cell>
        </row>
        <row r="2135">
          <cell r="S2135">
            <v>2</v>
          </cell>
        </row>
        <row r="2136">
          <cell r="M2136" t="str">
            <v>课程</v>
          </cell>
        </row>
        <row r="2136">
          <cell r="S2136">
            <v>9.9</v>
          </cell>
        </row>
        <row r="2137">
          <cell r="M2137" t="str">
            <v>孝敬</v>
          </cell>
        </row>
        <row r="2137">
          <cell r="S2137">
            <v>2000</v>
          </cell>
        </row>
        <row r="2138">
          <cell r="M2138" t="str">
            <v>出行</v>
          </cell>
        </row>
        <row r="2138">
          <cell r="S2138">
            <v>3</v>
          </cell>
        </row>
        <row r="2139">
          <cell r="M2139" t="str">
            <v>小资</v>
          </cell>
        </row>
        <row r="2139">
          <cell r="R2139" t="str">
            <v>吃喝</v>
          </cell>
          <cell r="S2139">
            <v>17</v>
          </cell>
        </row>
        <row r="2140">
          <cell r="M2140" t="str">
            <v>小资</v>
          </cell>
        </row>
        <row r="2140">
          <cell r="R2140" t="str">
            <v>城内</v>
          </cell>
          <cell r="S2140">
            <v>10.29</v>
          </cell>
        </row>
        <row r="2141">
          <cell r="M2141" t="str">
            <v>小资</v>
          </cell>
        </row>
        <row r="2141">
          <cell r="R2141" t="str">
            <v>吃喝</v>
          </cell>
          <cell r="S2141">
            <v>15</v>
          </cell>
        </row>
        <row r="2142">
          <cell r="M2142" t="str">
            <v>小资</v>
          </cell>
        </row>
        <row r="2142">
          <cell r="R2142" t="str">
            <v>吃喝</v>
          </cell>
          <cell r="S2142">
            <v>4</v>
          </cell>
        </row>
        <row r="2143">
          <cell r="M2143" t="str">
            <v>社交</v>
          </cell>
        </row>
        <row r="2143">
          <cell r="S2143">
            <v>74</v>
          </cell>
        </row>
        <row r="2144">
          <cell r="M2144" t="str">
            <v>小资</v>
          </cell>
        </row>
        <row r="2144">
          <cell r="R2144" t="str">
            <v>吃喝</v>
          </cell>
          <cell r="S2144">
            <v>11</v>
          </cell>
        </row>
        <row r="2145">
          <cell r="M2145" t="str">
            <v>社交</v>
          </cell>
        </row>
        <row r="2145">
          <cell r="S2145">
            <v>17.1</v>
          </cell>
        </row>
        <row r="2146">
          <cell r="M2146" t="str">
            <v>日用</v>
          </cell>
        </row>
        <row r="2146">
          <cell r="S2146">
            <v>9</v>
          </cell>
        </row>
        <row r="2147">
          <cell r="M2147" t="str">
            <v>债权投资</v>
          </cell>
        </row>
        <row r="2147">
          <cell r="S2147">
            <v>600</v>
          </cell>
        </row>
        <row r="2148">
          <cell r="M2148" t="str">
            <v>日用</v>
          </cell>
        </row>
        <row r="2148">
          <cell r="S2148">
            <v>60</v>
          </cell>
        </row>
        <row r="2149">
          <cell r="M2149" t="str">
            <v>日用</v>
          </cell>
        </row>
        <row r="2149">
          <cell r="S2149">
            <v>60</v>
          </cell>
        </row>
        <row r="2150">
          <cell r="M2150" t="str">
            <v>日用</v>
          </cell>
        </row>
        <row r="2150">
          <cell r="S2150">
            <v>6</v>
          </cell>
        </row>
        <row r="2151">
          <cell r="M2151" t="str">
            <v>会员</v>
          </cell>
        </row>
        <row r="2151">
          <cell r="S2151">
            <v>6</v>
          </cell>
        </row>
        <row r="2152">
          <cell r="M2152" t="str">
            <v>小资</v>
          </cell>
        </row>
        <row r="2152">
          <cell r="R2152" t="str">
            <v>吃喝</v>
          </cell>
          <cell r="S2152">
            <v>3</v>
          </cell>
        </row>
        <row r="2153">
          <cell r="M2153" t="str">
            <v>小资</v>
          </cell>
        </row>
        <row r="2153">
          <cell r="R2153" t="str">
            <v>吃喝</v>
          </cell>
          <cell r="S2153">
            <v>15</v>
          </cell>
        </row>
        <row r="2154">
          <cell r="M2154" t="str">
            <v>小资</v>
          </cell>
        </row>
        <row r="2154">
          <cell r="R2154" t="str">
            <v>吃喝</v>
          </cell>
          <cell r="S2154">
            <v>10</v>
          </cell>
        </row>
        <row r="2155">
          <cell r="M2155" t="str">
            <v>读书</v>
          </cell>
        </row>
        <row r="2155">
          <cell r="S2155">
            <v>294.93</v>
          </cell>
        </row>
        <row r="2156">
          <cell r="M2156" t="str">
            <v>读书</v>
          </cell>
        </row>
        <row r="2156">
          <cell r="S2156">
            <v>5</v>
          </cell>
        </row>
        <row r="2157">
          <cell r="M2157" t="str">
            <v>读书</v>
          </cell>
        </row>
        <row r="2157">
          <cell r="S2157">
            <v>200</v>
          </cell>
        </row>
        <row r="2158">
          <cell r="M2158" t="str">
            <v>风险金</v>
          </cell>
        </row>
        <row r="2158">
          <cell r="S2158">
            <v>100</v>
          </cell>
        </row>
        <row r="2159">
          <cell r="M2159" t="str">
            <v>风险金</v>
          </cell>
        </row>
        <row r="2159">
          <cell r="S2159">
            <v>5900</v>
          </cell>
        </row>
        <row r="2160">
          <cell r="M2160" t="str">
            <v>小资</v>
          </cell>
        </row>
        <row r="2160">
          <cell r="R2160" t="str">
            <v>吃喝</v>
          </cell>
          <cell r="S2160">
            <v>77.42</v>
          </cell>
        </row>
        <row r="2161">
          <cell r="M2161" t="str">
            <v>小资</v>
          </cell>
        </row>
        <row r="2161">
          <cell r="R2161" t="str">
            <v>城内</v>
          </cell>
          <cell r="S2161">
            <v>7.8</v>
          </cell>
        </row>
        <row r="2162">
          <cell r="M2162" t="str">
            <v>社交</v>
          </cell>
        </row>
        <row r="2162">
          <cell r="S2162">
            <v>698</v>
          </cell>
        </row>
        <row r="2163">
          <cell r="M2163" t="str">
            <v>日用</v>
          </cell>
        </row>
        <row r="2163">
          <cell r="S2163">
            <v>308</v>
          </cell>
        </row>
        <row r="2164">
          <cell r="M2164" t="str">
            <v>保山</v>
          </cell>
        </row>
        <row r="2164">
          <cell r="S2164">
            <v>39.8</v>
          </cell>
        </row>
        <row r="2165">
          <cell r="M2165" t="str">
            <v>会员</v>
          </cell>
        </row>
        <row r="2165">
          <cell r="S2165">
            <v>19</v>
          </cell>
        </row>
        <row r="2166">
          <cell r="M2166" t="str">
            <v>早餐</v>
          </cell>
        </row>
        <row r="2166">
          <cell r="S2166">
            <v>10</v>
          </cell>
        </row>
        <row r="2167">
          <cell r="M2167" t="str">
            <v>话费</v>
          </cell>
        </row>
        <row r="2167">
          <cell r="S2167">
            <v>50</v>
          </cell>
        </row>
        <row r="2168">
          <cell r="M2168" t="str">
            <v>小资</v>
          </cell>
        </row>
        <row r="2168">
          <cell r="R2168" t="str">
            <v>城内</v>
          </cell>
          <cell r="S2168">
            <v>25</v>
          </cell>
        </row>
        <row r="2169">
          <cell r="M2169" t="str">
            <v>小资</v>
          </cell>
        </row>
        <row r="2169">
          <cell r="R2169" t="str">
            <v>城内</v>
          </cell>
          <cell r="S2169">
            <v>23.7</v>
          </cell>
        </row>
        <row r="2170">
          <cell r="M2170" t="str">
            <v>小资</v>
          </cell>
        </row>
        <row r="2170">
          <cell r="R2170" t="str">
            <v>吃喝</v>
          </cell>
          <cell r="S2170">
            <v>65</v>
          </cell>
        </row>
        <row r="2171">
          <cell r="M2171" t="str">
            <v>小资</v>
          </cell>
        </row>
        <row r="2171">
          <cell r="R2171" t="str">
            <v>吃喝</v>
          </cell>
          <cell r="S2171">
            <v>2</v>
          </cell>
        </row>
        <row r="2172">
          <cell r="M2172" t="str">
            <v>小资</v>
          </cell>
        </row>
        <row r="2172">
          <cell r="R2172" t="str">
            <v>吃喝</v>
          </cell>
          <cell r="S2172">
            <v>8</v>
          </cell>
        </row>
        <row r="2173">
          <cell r="M2173" t="str">
            <v>小资</v>
          </cell>
        </row>
        <row r="2173">
          <cell r="R2173" t="str">
            <v>城内</v>
          </cell>
          <cell r="S2173">
            <v>7.6</v>
          </cell>
        </row>
        <row r="2174">
          <cell r="M2174" t="str">
            <v>小资</v>
          </cell>
        </row>
        <row r="2174">
          <cell r="R2174" t="str">
            <v>城内</v>
          </cell>
          <cell r="S2174">
            <v>27.6</v>
          </cell>
        </row>
        <row r="2175">
          <cell r="M2175" t="str">
            <v>话费</v>
          </cell>
        </row>
        <row r="2175">
          <cell r="S2175">
            <v>-40</v>
          </cell>
        </row>
        <row r="2176">
          <cell r="M2176" t="str">
            <v>话费</v>
          </cell>
        </row>
        <row r="2176">
          <cell r="S2176">
            <v>100</v>
          </cell>
        </row>
        <row r="2177">
          <cell r="M2177" t="str">
            <v>出行</v>
          </cell>
        </row>
        <row r="2177">
          <cell r="S2177">
            <v>189.5</v>
          </cell>
        </row>
        <row r="2178">
          <cell r="M2178" t="str">
            <v>出行</v>
          </cell>
        </row>
        <row r="2178">
          <cell r="S2178">
            <v>60</v>
          </cell>
        </row>
        <row r="2179">
          <cell r="M2179" t="str">
            <v>日用</v>
          </cell>
        </row>
        <row r="2179">
          <cell r="S2179">
            <v>2</v>
          </cell>
        </row>
        <row r="2180">
          <cell r="M2180" t="str">
            <v>日用</v>
          </cell>
        </row>
        <row r="2180">
          <cell r="S2180">
            <v>4</v>
          </cell>
        </row>
        <row r="2181">
          <cell r="M2181" t="str">
            <v>出行</v>
          </cell>
        </row>
        <row r="2181">
          <cell r="S2181">
            <v>33</v>
          </cell>
        </row>
        <row r="2182">
          <cell r="M2182" t="str">
            <v>早餐</v>
          </cell>
        </row>
        <row r="2182">
          <cell r="S2182">
            <v>8</v>
          </cell>
        </row>
        <row r="2183">
          <cell r="M2183" t="str">
            <v>风险金</v>
          </cell>
        </row>
        <row r="2183">
          <cell r="S2183">
            <v>4000</v>
          </cell>
        </row>
        <row r="2184">
          <cell r="M2184" t="str">
            <v>小资</v>
          </cell>
        </row>
        <row r="2184">
          <cell r="R2184" t="str">
            <v>吃喝</v>
          </cell>
          <cell r="S2184">
            <v>12</v>
          </cell>
        </row>
        <row r="2185">
          <cell r="M2185" t="str">
            <v>出行</v>
          </cell>
        </row>
        <row r="2185">
          <cell r="S2185">
            <v>12.2</v>
          </cell>
        </row>
        <row r="2186">
          <cell r="M2186" t="str">
            <v>会员</v>
          </cell>
        </row>
        <row r="2186">
          <cell r="S2186">
            <v>15</v>
          </cell>
        </row>
        <row r="2187">
          <cell r="M2187" t="str">
            <v>出行</v>
          </cell>
        </row>
        <row r="2187">
          <cell r="S2187">
            <v>13.8</v>
          </cell>
        </row>
        <row r="2188">
          <cell r="M2188" t="str">
            <v>出行</v>
          </cell>
        </row>
        <row r="2188">
          <cell r="S2188">
            <v>6.6</v>
          </cell>
        </row>
        <row r="2189">
          <cell r="M2189" t="str">
            <v>保山</v>
          </cell>
        </row>
        <row r="2189">
          <cell r="S2189">
            <v>169</v>
          </cell>
        </row>
        <row r="2190">
          <cell r="M2190" t="str">
            <v>会员</v>
          </cell>
        </row>
        <row r="2190">
          <cell r="S2190">
            <v>15</v>
          </cell>
        </row>
        <row r="2191">
          <cell r="M2191" t="str">
            <v>保山</v>
          </cell>
        </row>
        <row r="2191">
          <cell r="S2191">
            <v>13.1</v>
          </cell>
        </row>
        <row r="2192">
          <cell r="M2192" t="str">
            <v>社交</v>
          </cell>
        </row>
        <row r="2192">
          <cell r="S2192">
            <v>215</v>
          </cell>
        </row>
        <row r="2193">
          <cell r="M2193" t="str">
            <v>小资</v>
          </cell>
        </row>
        <row r="2193">
          <cell r="R2193" t="str">
            <v>吃喝</v>
          </cell>
          <cell r="S2193">
            <v>30</v>
          </cell>
        </row>
        <row r="2194">
          <cell r="M2194" t="str">
            <v>出行</v>
          </cell>
        </row>
        <row r="2194">
          <cell r="S2194">
            <v>181</v>
          </cell>
        </row>
        <row r="2195">
          <cell r="M2195" t="str">
            <v>出行</v>
          </cell>
        </row>
        <row r="2195">
          <cell r="S2195">
            <v>44.5</v>
          </cell>
        </row>
        <row r="2196">
          <cell r="M2196" t="str">
            <v>出行</v>
          </cell>
        </row>
        <row r="2196">
          <cell r="S2196">
            <v>14.6</v>
          </cell>
        </row>
        <row r="2197">
          <cell r="M2197" t="str">
            <v>保山</v>
          </cell>
        </row>
        <row r="2197">
          <cell r="S2197">
            <v>25.1</v>
          </cell>
        </row>
        <row r="2198">
          <cell r="M2198" t="str">
            <v>小资</v>
          </cell>
        </row>
        <row r="2198">
          <cell r="R2198" t="str">
            <v>吃喝</v>
          </cell>
          <cell r="S2198">
            <v>2</v>
          </cell>
        </row>
        <row r="2199">
          <cell r="M2199" t="str">
            <v>小资</v>
          </cell>
        </row>
        <row r="2199">
          <cell r="R2199" t="str">
            <v>吃喝</v>
          </cell>
          <cell r="S2199">
            <v>31</v>
          </cell>
        </row>
        <row r="2200">
          <cell r="M2200" t="str">
            <v>小资</v>
          </cell>
        </row>
        <row r="2200">
          <cell r="R2200" t="str">
            <v>吃喝</v>
          </cell>
          <cell r="S2200">
            <v>15</v>
          </cell>
        </row>
        <row r="2201">
          <cell r="M2201" t="str">
            <v>小资</v>
          </cell>
        </row>
        <row r="2201">
          <cell r="R2201" t="str">
            <v>吃喝</v>
          </cell>
          <cell r="S2201">
            <v>14</v>
          </cell>
        </row>
        <row r="2202">
          <cell r="M2202" t="str">
            <v>保山</v>
          </cell>
        </row>
        <row r="2202">
          <cell r="S2202">
            <v>22.09</v>
          </cell>
        </row>
        <row r="2203">
          <cell r="M2203" t="str">
            <v>早餐</v>
          </cell>
        </row>
        <row r="2203">
          <cell r="S2203">
            <v>10</v>
          </cell>
        </row>
        <row r="2204">
          <cell r="M2204" t="str">
            <v>工资</v>
          </cell>
        </row>
        <row r="2204">
          <cell r="S2204">
            <v>-22000</v>
          </cell>
        </row>
        <row r="2205">
          <cell r="M2205" t="str">
            <v>话费</v>
          </cell>
        </row>
        <row r="2205">
          <cell r="S2205">
            <v>50</v>
          </cell>
        </row>
        <row r="2206">
          <cell r="M2206" t="str">
            <v>话费</v>
          </cell>
        </row>
        <row r="2206">
          <cell r="S2206">
            <v>50</v>
          </cell>
        </row>
        <row r="2207">
          <cell r="M2207" t="str">
            <v>课程</v>
          </cell>
        </row>
        <row r="2207">
          <cell r="S2207">
            <v>13.9</v>
          </cell>
        </row>
        <row r="2208">
          <cell r="M2208" t="str">
            <v>早餐</v>
          </cell>
        </row>
        <row r="2208">
          <cell r="S2208">
            <v>5</v>
          </cell>
        </row>
        <row r="2209">
          <cell r="M2209" t="str">
            <v>会员</v>
          </cell>
        </row>
        <row r="2209">
          <cell r="S2209">
            <v>8</v>
          </cell>
        </row>
        <row r="2210">
          <cell r="M2210" t="str">
            <v>小资</v>
          </cell>
        </row>
        <row r="2210">
          <cell r="R2210" t="str">
            <v>话剧</v>
          </cell>
          <cell r="S2210">
            <v>432</v>
          </cell>
        </row>
        <row r="2211">
          <cell r="M2211" t="str">
            <v>早餐</v>
          </cell>
        </row>
        <row r="2211">
          <cell r="S2211">
            <v>2</v>
          </cell>
        </row>
        <row r="2212">
          <cell r="M2212" t="str">
            <v>早餐</v>
          </cell>
        </row>
        <row r="2212">
          <cell r="S2212">
            <v>10</v>
          </cell>
        </row>
        <row r="2213">
          <cell r="M2213" t="str">
            <v>保山</v>
          </cell>
        </row>
        <row r="2213">
          <cell r="S2213">
            <v>15.4</v>
          </cell>
        </row>
        <row r="2214">
          <cell r="M2214" t="str">
            <v>小资</v>
          </cell>
        </row>
        <row r="2214">
          <cell r="R2214" t="str">
            <v>游玩</v>
          </cell>
          <cell r="S2214">
            <v>68</v>
          </cell>
        </row>
        <row r="2215">
          <cell r="M2215" t="str">
            <v>晚餐</v>
          </cell>
        </row>
        <row r="2215">
          <cell r="S2215">
            <v>18</v>
          </cell>
        </row>
        <row r="2216">
          <cell r="M2216" t="str">
            <v>晚餐</v>
          </cell>
        </row>
        <row r="2216">
          <cell r="S2216">
            <v>7</v>
          </cell>
        </row>
        <row r="2217">
          <cell r="M2217" t="str">
            <v>小资</v>
          </cell>
        </row>
        <row r="2217">
          <cell r="R2217" t="str">
            <v>吃喝</v>
          </cell>
          <cell r="S2217">
            <v>4</v>
          </cell>
        </row>
        <row r="2218">
          <cell r="M2218" t="str">
            <v>保山</v>
          </cell>
        </row>
        <row r="2218">
          <cell r="S2218">
            <v>16.6</v>
          </cell>
        </row>
        <row r="2219">
          <cell r="M2219" t="str">
            <v>小资</v>
          </cell>
        </row>
        <row r="2219">
          <cell r="R2219" t="str">
            <v>女人</v>
          </cell>
          <cell r="S2219">
            <v>1200</v>
          </cell>
        </row>
        <row r="2220">
          <cell r="M2220" t="str">
            <v>小资</v>
          </cell>
        </row>
        <row r="2220">
          <cell r="R2220" t="str">
            <v>女人</v>
          </cell>
          <cell r="S2220">
            <v>300</v>
          </cell>
        </row>
        <row r="2221">
          <cell r="M2221" t="str">
            <v>小资</v>
          </cell>
        </row>
        <row r="2221">
          <cell r="R2221" t="str">
            <v>住宿</v>
          </cell>
          <cell r="S2221">
            <v>63</v>
          </cell>
        </row>
        <row r="2222">
          <cell r="M2222" t="str">
            <v>小资</v>
          </cell>
        </row>
        <row r="2222">
          <cell r="R2222" t="str">
            <v>城内</v>
          </cell>
          <cell r="S2222">
            <v>4.6</v>
          </cell>
        </row>
        <row r="2223">
          <cell r="M2223" t="str">
            <v>小资</v>
          </cell>
        </row>
        <row r="2223">
          <cell r="R2223" t="str">
            <v>吃喝</v>
          </cell>
          <cell r="S2223">
            <v>24</v>
          </cell>
        </row>
        <row r="2224">
          <cell r="M2224" t="str">
            <v>话费</v>
          </cell>
        </row>
        <row r="2224">
          <cell r="S2224">
            <v>100</v>
          </cell>
        </row>
        <row r="2225">
          <cell r="M2225" t="str">
            <v>早餐</v>
          </cell>
        </row>
        <row r="2225">
          <cell r="S2225">
            <v>2</v>
          </cell>
        </row>
        <row r="2226">
          <cell r="M2226" t="str">
            <v>课程</v>
          </cell>
        </row>
        <row r="2226">
          <cell r="S2226">
            <v>9</v>
          </cell>
        </row>
        <row r="2227">
          <cell r="M2227" t="str">
            <v>日用</v>
          </cell>
        </row>
        <row r="2227">
          <cell r="S2227">
            <v>2</v>
          </cell>
        </row>
        <row r="2228">
          <cell r="M2228" t="str">
            <v>出行</v>
          </cell>
        </row>
        <row r="2228">
          <cell r="S2228">
            <v>4</v>
          </cell>
        </row>
        <row r="2229">
          <cell r="M2229" t="str">
            <v>小资</v>
          </cell>
        </row>
        <row r="2229">
          <cell r="R2229" t="str">
            <v>吃喝</v>
          </cell>
          <cell r="S2229">
            <v>100</v>
          </cell>
        </row>
        <row r="2230">
          <cell r="M2230" t="str">
            <v>晚餐</v>
          </cell>
        </row>
        <row r="2230">
          <cell r="S2230">
            <v>12</v>
          </cell>
        </row>
        <row r="2231">
          <cell r="M2231" t="str">
            <v>小资</v>
          </cell>
        </row>
        <row r="2231">
          <cell r="R2231" t="str">
            <v>吃喝</v>
          </cell>
          <cell r="S2231">
            <v>12</v>
          </cell>
        </row>
        <row r="2232">
          <cell r="M2232" t="str">
            <v>小资</v>
          </cell>
        </row>
        <row r="2232">
          <cell r="R2232" t="str">
            <v>吃喝</v>
          </cell>
          <cell r="S2232">
            <v>51.1</v>
          </cell>
        </row>
        <row r="2233">
          <cell r="M2233" t="str">
            <v>晚餐</v>
          </cell>
        </row>
        <row r="2233">
          <cell r="S2233">
            <v>23</v>
          </cell>
        </row>
        <row r="2234">
          <cell r="M2234" t="str">
            <v>出行</v>
          </cell>
        </row>
        <row r="2234">
          <cell r="S2234">
            <v>26.8</v>
          </cell>
        </row>
        <row r="2235">
          <cell r="M2235" t="str">
            <v>出行</v>
          </cell>
        </row>
        <row r="2235">
          <cell r="S2235">
            <v>15.4</v>
          </cell>
        </row>
        <row r="2236">
          <cell r="M2236" t="str">
            <v>社交</v>
          </cell>
        </row>
        <row r="2236">
          <cell r="S2236">
            <v>40</v>
          </cell>
        </row>
        <row r="2237">
          <cell r="M2237" t="str">
            <v>房租</v>
          </cell>
        </row>
        <row r="2237">
          <cell r="S2237">
            <v>430</v>
          </cell>
        </row>
        <row r="2238">
          <cell r="M2238" t="str">
            <v>早餐</v>
          </cell>
        </row>
        <row r="2238">
          <cell r="S2238">
            <v>2</v>
          </cell>
        </row>
        <row r="2239">
          <cell r="M2239" t="str">
            <v>社交</v>
          </cell>
        </row>
        <row r="2239">
          <cell r="S2239">
            <v>30</v>
          </cell>
        </row>
        <row r="2240">
          <cell r="M2240" t="str">
            <v>日用</v>
          </cell>
        </row>
        <row r="2240">
          <cell r="S2240">
            <v>29.59</v>
          </cell>
        </row>
        <row r="2241">
          <cell r="M2241" t="str">
            <v>日用</v>
          </cell>
        </row>
        <row r="2241">
          <cell r="S2241">
            <v>13.8</v>
          </cell>
        </row>
        <row r="2242">
          <cell r="M2242" t="str">
            <v>社交</v>
          </cell>
        </row>
        <row r="2242">
          <cell r="S2242">
            <v>45</v>
          </cell>
        </row>
        <row r="2243">
          <cell r="M2243" t="str">
            <v>日用</v>
          </cell>
        </row>
        <row r="2243">
          <cell r="S2243">
            <v>0.639999999999986</v>
          </cell>
        </row>
        <row r="2244">
          <cell r="M2244" t="str">
            <v>日用</v>
          </cell>
        </row>
        <row r="2244">
          <cell r="S2244">
            <v>2</v>
          </cell>
        </row>
        <row r="2245">
          <cell r="M2245" t="str">
            <v>早餐</v>
          </cell>
        </row>
        <row r="2245">
          <cell r="S2245">
            <v>2</v>
          </cell>
        </row>
        <row r="2246">
          <cell r="M2246" t="str">
            <v>副入</v>
          </cell>
        </row>
        <row r="2246">
          <cell r="S2246">
            <v>-300</v>
          </cell>
        </row>
        <row r="2247">
          <cell r="M2247" t="str">
            <v>社交</v>
          </cell>
        </row>
        <row r="2247">
          <cell r="S2247">
            <v>15</v>
          </cell>
        </row>
        <row r="2248">
          <cell r="M2248" t="str">
            <v>晚餐</v>
          </cell>
        </row>
        <row r="2248">
          <cell r="S2248">
            <v>11</v>
          </cell>
        </row>
        <row r="2249">
          <cell r="M2249" t="str">
            <v>社交</v>
          </cell>
        </row>
        <row r="2249">
          <cell r="S2249">
            <v>16.6</v>
          </cell>
        </row>
        <row r="2250">
          <cell r="M2250" t="str">
            <v>早餐</v>
          </cell>
        </row>
        <row r="2250">
          <cell r="S2250">
            <v>2</v>
          </cell>
        </row>
        <row r="2251">
          <cell r="M2251" t="str">
            <v>小资</v>
          </cell>
        </row>
        <row r="2251">
          <cell r="R2251" t="str">
            <v>吃喝</v>
          </cell>
          <cell r="S2251">
            <v>91</v>
          </cell>
        </row>
        <row r="2252">
          <cell r="M2252" t="str">
            <v>小资</v>
          </cell>
        </row>
        <row r="2252">
          <cell r="R2252" t="str">
            <v>游玩</v>
          </cell>
          <cell r="S2252">
            <v>160</v>
          </cell>
        </row>
        <row r="2253">
          <cell r="M2253" t="str">
            <v>早餐</v>
          </cell>
        </row>
        <row r="2253">
          <cell r="S2253">
            <v>12</v>
          </cell>
        </row>
        <row r="2254">
          <cell r="M2254" t="str">
            <v>小资</v>
          </cell>
        </row>
        <row r="2254">
          <cell r="R2254" t="str">
            <v>吃喝</v>
          </cell>
          <cell r="S2254">
            <v>16</v>
          </cell>
        </row>
        <row r="2255">
          <cell r="M2255" t="str">
            <v>会员</v>
          </cell>
        </row>
        <row r="2255">
          <cell r="S2255">
            <v>6</v>
          </cell>
        </row>
        <row r="2256">
          <cell r="M2256" t="str">
            <v>小资</v>
          </cell>
        </row>
        <row r="2256">
          <cell r="R2256" t="str">
            <v>吃喝</v>
          </cell>
          <cell r="S2256">
            <v>27.67</v>
          </cell>
        </row>
        <row r="2257">
          <cell r="M2257" t="str">
            <v>晚餐</v>
          </cell>
        </row>
        <row r="2257">
          <cell r="S2257">
            <v>12</v>
          </cell>
        </row>
        <row r="2258">
          <cell r="M2258" t="str">
            <v>小资</v>
          </cell>
        </row>
        <row r="2258">
          <cell r="R2258" t="str">
            <v>吃喝</v>
          </cell>
          <cell r="S2258">
            <v>31.02</v>
          </cell>
        </row>
        <row r="2259">
          <cell r="M2259" t="str">
            <v>小资</v>
          </cell>
        </row>
        <row r="2259">
          <cell r="R2259" t="str">
            <v>城内</v>
          </cell>
          <cell r="S2259">
            <v>4</v>
          </cell>
        </row>
        <row r="2260">
          <cell r="M2260" t="str">
            <v>日用</v>
          </cell>
        </row>
        <row r="2260">
          <cell r="S2260">
            <v>9.9</v>
          </cell>
        </row>
        <row r="2261">
          <cell r="M2261" t="str">
            <v>日用</v>
          </cell>
        </row>
        <row r="2261">
          <cell r="S2261">
            <v>21.24</v>
          </cell>
        </row>
        <row r="2262">
          <cell r="M2262" t="str">
            <v>日用</v>
          </cell>
        </row>
        <row r="2262">
          <cell r="S2262">
            <v>49.69</v>
          </cell>
        </row>
        <row r="2263">
          <cell r="M2263" t="str">
            <v>日用</v>
          </cell>
        </row>
        <row r="2263">
          <cell r="S2263">
            <v>69</v>
          </cell>
        </row>
        <row r="2264">
          <cell r="M2264" t="str">
            <v>晚餐</v>
          </cell>
        </row>
        <row r="2264">
          <cell r="S2264">
            <v>20</v>
          </cell>
        </row>
        <row r="2265">
          <cell r="M2265" t="str">
            <v>小资</v>
          </cell>
        </row>
        <row r="2265">
          <cell r="R2265" t="str">
            <v>城内</v>
          </cell>
          <cell r="S2265">
            <v>12</v>
          </cell>
        </row>
        <row r="2266">
          <cell r="M2266" t="str">
            <v>读书</v>
          </cell>
        </row>
        <row r="2266">
          <cell r="S2266">
            <v>248</v>
          </cell>
        </row>
        <row r="2267">
          <cell r="M2267" t="str">
            <v>课程</v>
          </cell>
        </row>
        <row r="2267">
          <cell r="S2267">
            <v>279</v>
          </cell>
        </row>
        <row r="2268">
          <cell r="M2268" t="str">
            <v>小资</v>
          </cell>
        </row>
        <row r="2268">
          <cell r="R2268" t="str">
            <v>城内</v>
          </cell>
          <cell r="S2268">
            <v>14.6</v>
          </cell>
        </row>
        <row r="2269">
          <cell r="M2269" t="str">
            <v>日用</v>
          </cell>
        </row>
        <row r="2269">
          <cell r="S2269">
            <v>9</v>
          </cell>
        </row>
        <row r="2270">
          <cell r="M2270" t="str">
            <v>家医</v>
          </cell>
        </row>
        <row r="2270">
          <cell r="S2270">
            <v>17.5</v>
          </cell>
        </row>
        <row r="2271">
          <cell r="M2271" t="str">
            <v>早餐</v>
          </cell>
        </row>
        <row r="2271">
          <cell r="S2271">
            <v>2</v>
          </cell>
        </row>
        <row r="2272">
          <cell r="M2272" t="str">
            <v>话费</v>
          </cell>
        </row>
        <row r="2272">
          <cell r="S2272">
            <v>50</v>
          </cell>
        </row>
        <row r="2273">
          <cell r="M2273" t="str">
            <v>会员</v>
          </cell>
        </row>
        <row r="2273">
          <cell r="S2273">
            <v>19</v>
          </cell>
        </row>
        <row r="2274">
          <cell r="M2274" t="str">
            <v>话费</v>
          </cell>
        </row>
        <row r="2274">
          <cell r="S2274">
            <v>-40</v>
          </cell>
        </row>
        <row r="2275">
          <cell r="M2275" t="str">
            <v>小资</v>
          </cell>
        </row>
        <row r="2275">
          <cell r="R2275" t="str">
            <v>城际</v>
          </cell>
          <cell r="S2275">
            <v>34</v>
          </cell>
        </row>
        <row r="2276">
          <cell r="M2276" t="str">
            <v>小资</v>
          </cell>
        </row>
        <row r="2276">
          <cell r="R2276" t="str">
            <v>城际</v>
          </cell>
          <cell r="S2276">
            <v>10.5</v>
          </cell>
        </row>
        <row r="2277">
          <cell r="M2277" t="str">
            <v>日用</v>
          </cell>
        </row>
        <row r="2277">
          <cell r="S2277">
            <v>26.39</v>
          </cell>
        </row>
        <row r="2278">
          <cell r="M2278" t="str">
            <v>日用</v>
          </cell>
        </row>
        <row r="2278">
          <cell r="S2278">
            <v>1</v>
          </cell>
        </row>
        <row r="2279">
          <cell r="M2279" t="str">
            <v>话费</v>
          </cell>
        </row>
        <row r="2279">
          <cell r="S2279">
            <v>50</v>
          </cell>
        </row>
        <row r="2280">
          <cell r="M2280" t="str">
            <v>小资</v>
          </cell>
        </row>
        <row r="2280">
          <cell r="R2280" t="str">
            <v>住宿</v>
          </cell>
          <cell r="S2280">
            <v>52.02</v>
          </cell>
        </row>
        <row r="2281">
          <cell r="M2281" t="str">
            <v>日用</v>
          </cell>
        </row>
        <row r="2281">
          <cell r="S2281">
            <v>15</v>
          </cell>
        </row>
        <row r="2282">
          <cell r="M2282" t="str">
            <v>晚餐</v>
          </cell>
        </row>
        <row r="2282">
          <cell r="S2282">
            <v>10</v>
          </cell>
        </row>
        <row r="2283">
          <cell r="M2283" t="str">
            <v>日用</v>
          </cell>
        </row>
        <row r="2283">
          <cell r="S2283">
            <v>4</v>
          </cell>
        </row>
        <row r="2284">
          <cell r="M2284" t="str">
            <v>小资</v>
          </cell>
        </row>
        <row r="2284">
          <cell r="R2284" t="str">
            <v>住宿</v>
          </cell>
          <cell r="S2284">
            <v>86</v>
          </cell>
        </row>
        <row r="2285">
          <cell r="M2285" t="str">
            <v>小资</v>
          </cell>
        </row>
        <row r="2285">
          <cell r="R2285" t="str">
            <v>城内</v>
          </cell>
          <cell r="S2285">
            <v>39.1</v>
          </cell>
        </row>
        <row r="2286">
          <cell r="M2286" t="str">
            <v>小资</v>
          </cell>
        </row>
        <row r="2286">
          <cell r="R2286" t="str">
            <v>城内</v>
          </cell>
          <cell r="S2286">
            <v>4</v>
          </cell>
        </row>
        <row r="2287">
          <cell r="M2287" t="str">
            <v>小资</v>
          </cell>
        </row>
        <row r="2287">
          <cell r="R2287" t="str">
            <v>吃喝</v>
          </cell>
          <cell r="S2287">
            <v>17</v>
          </cell>
        </row>
        <row r="2288">
          <cell r="M2288" t="str">
            <v>小资</v>
          </cell>
        </row>
        <row r="2288">
          <cell r="R2288" t="str">
            <v>吃喝</v>
          </cell>
          <cell r="S2288">
            <v>3</v>
          </cell>
        </row>
        <row r="2289">
          <cell r="M2289" t="str">
            <v>小资</v>
          </cell>
        </row>
        <row r="2289">
          <cell r="R2289" t="str">
            <v>吃喝</v>
          </cell>
          <cell r="S2289">
            <v>13</v>
          </cell>
        </row>
        <row r="2290">
          <cell r="M2290" t="str">
            <v>小资</v>
          </cell>
        </row>
        <row r="2290">
          <cell r="R2290" t="str">
            <v>吃喝</v>
          </cell>
          <cell r="S2290">
            <v>40</v>
          </cell>
        </row>
        <row r="2291">
          <cell r="M2291" t="str">
            <v>家医</v>
          </cell>
        </row>
        <row r="2291">
          <cell r="S2291">
            <v>12.5</v>
          </cell>
        </row>
        <row r="2292">
          <cell r="M2292" t="str">
            <v>小资</v>
          </cell>
        </row>
        <row r="2292">
          <cell r="R2292" t="str">
            <v>城内</v>
          </cell>
          <cell r="S2292">
            <v>22.09</v>
          </cell>
        </row>
        <row r="2293">
          <cell r="M2293" t="str">
            <v>小资</v>
          </cell>
        </row>
        <row r="2293">
          <cell r="R2293" t="str">
            <v>城内</v>
          </cell>
          <cell r="S2293">
            <v>20.6</v>
          </cell>
        </row>
        <row r="2294">
          <cell r="M2294" t="str">
            <v>小资</v>
          </cell>
        </row>
        <row r="2294">
          <cell r="R2294" t="str">
            <v>女人</v>
          </cell>
          <cell r="S2294">
            <v>90</v>
          </cell>
        </row>
        <row r="2295">
          <cell r="M2295" t="str">
            <v>小资</v>
          </cell>
        </row>
        <row r="2295">
          <cell r="R2295" t="str">
            <v>城内</v>
          </cell>
          <cell r="S2295">
            <v>20.4</v>
          </cell>
        </row>
        <row r="2296">
          <cell r="M2296" t="str">
            <v>小资</v>
          </cell>
        </row>
        <row r="2296">
          <cell r="R2296" t="str">
            <v>城内</v>
          </cell>
          <cell r="S2296">
            <v>9</v>
          </cell>
        </row>
        <row r="2297">
          <cell r="M2297" t="str">
            <v>日用</v>
          </cell>
        </row>
        <row r="2297">
          <cell r="S2297">
            <v>1</v>
          </cell>
        </row>
        <row r="2298">
          <cell r="M2298" t="str">
            <v>家医</v>
          </cell>
        </row>
        <row r="2298">
          <cell r="S2298">
            <v>12.5</v>
          </cell>
        </row>
        <row r="2299">
          <cell r="M2299" t="str">
            <v>家医</v>
          </cell>
        </row>
        <row r="2299">
          <cell r="S2299">
            <v>17.5</v>
          </cell>
        </row>
        <row r="2300">
          <cell r="M2300" t="str">
            <v>小资</v>
          </cell>
        </row>
        <row r="2300">
          <cell r="R2300" t="str">
            <v>吃喝</v>
          </cell>
          <cell r="S2300">
            <v>12</v>
          </cell>
        </row>
        <row r="2301">
          <cell r="M2301" t="str">
            <v>小资</v>
          </cell>
        </row>
        <row r="2301">
          <cell r="R2301" t="str">
            <v>城际</v>
          </cell>
          <cell r="S2301">
            <v>44.5</v>
          </cell>
        </row>
        <row r="2302">
          <cell r="M2302" t="str">
            <v>小资</v>
          </cell>
        </row>
        <row r="2302">
          <cell r="R2302" t="str">
            <v>城内</v>
          </cell>
          <cell r="S2302">
            <v>11.9</v>
          </cell>
        </row>
        <row r="2303">
          <cell r="M2303" t="str">
            <v>小资</v>
          </cell>
        </row>
        <row r="2303">
          <cell r="R2303" t="str">
            <v>城内</v>
          </cell>
          <cell r="S2303">
            <v>12.6</v>
          </cell>
        </row>
        <row r="2304">
          <cell r="M2304" t="str">
            <v>小资</v>
          </cell>
        </row>
        <row r="2304">
          <cell r="R2304" t="str">
            <v>城内</v>
          </cell>
          <cell r="S2304">
            <v>16.1</v>
          </cell>
        </row>
        <row r="2305">
          <cell r="M2305" t="str">
            <v>小资</v>
          </cell>
        </row>
        <row r="2305">
          <cell r="R2305" t="str">
            <v>城内</v>
          </cell>
          <cell r="S2305">
            <v>5</v>
          </cell>
        </row>
        <row r="2306">
          <cell r="M2306" t="str">
            <v>小资</v>
          </cell>
        </row>
        <row r="2306">
          <cell r="R2306" t="str">
            <v>城内</v>
          </cell>
          <cell r="S2306">
            <v>35.1</v>
          </cell>
        </row>
        <row r="2307">
          <cell r="M2307" t="str">
            <v>会员</v>
          </cell>
        </row>
        <row r="2307">
          <cell r="S2307">
            <v>15</v>
          </cell>
        </row>
        <row r="2308">
          <cell r="M2308" t="str">
            <v>保山</v>
          </cell>
        </row>
        <row r="2308">
          <cell r="S2308">
            <v>899.1</v>
          </cell>
        </row>
        <row r="2309">
          <cell r="M2309" t="str">
            <v>保山</v>
          </cell>
        </row>
        <row r="2309">
          <cell r="S2309">
            <v>1017.73</v>
          </cell>
        </row>
        <row r="2310">
          <cell r="M2310" t="str">
            <v>日用</v>
          </cell>
        </row>
        <row r="2310">
          <cell r="S2310">
            <v>26.17</v>
          </cell>
        </row>
        <row r="2311">
          <cell r="M2311" t="str">
            <v>日用</v>
          </cell>
        </row>
        <row r="2311">
          <cell r="S2311">
            <v>29.9</v>
          </cell>
        </row>
        <row r="2312">
          <cell r="M2312" t="str">
            <v>会员</v>
          </cell>
        </row>
        <row r="2312">
          <cell r="S2312">
            <v>11</v>
          </cell>
        </row>
        <row r="2313">
          <cell r="M2313" t="str">
            <v>话费</v>
          </cell>
        </row>
        <row r="2313">
          <cell r="S2313">
            <v>50</v>
          </cell>
        </row>
        <row r="2314">
          <cell r="M2314" t="str">
            <v>话费</v>
          </cell>
        </row>
        <row r="2314">
          <cell r="S2314">
            <v>50</v>
          </cell>
        </row>
        <row r="2315">
          <cell r="M2315" t="str">
            <v>日用</v>
          </cell>
        </row>
        <row r="2315">
          <cell r="S2315">
            <v>12</v>
          </cell>
        </row>
        <row r="2316">
          <cell r="M2316" t="str">
            <v>日用</v>
          </cell>
        </row>
        <row r="2316">
          <cell r="S2316">
            <v>2</v>
          </cell>
        </row>
        <row r="2317">
          <cell r="M2317" t="str">
            <v>早餐</v>
          </cell>
        </row>
        <row r="2317">
          <cell r="S2317">
            <v>2</v>
          </cell>
        </row>
        <row r="2318">
          <cell r="M2318" t="str">
            <v>日用</v>
          </cell>
        </row>
        <row r="2318">
          <cell r="S2318">
            <v>2</v>
          </cell>
        </row>
        <row r="2319">
          <cell r="M2319" t="str">
            <v>话费</v>
          </cell>
        </row>
        <row r="2319">
          <cell r="S2319">
            <v>50</v>
          </cell>
        </row>
        <row r="2320">
          <cell r="M2320" t="str">
            <v>会员</v>
          </cell>
        </row>
        <row r="2320">
          <cell r="S2320">
            <v>8</v>
          </cell>
        </row>
        <row r="2321">
          <cell r="M2321" t="str">
            <v>早餐</v>
          </cell>
        </row>
        <row r="2321">
          <cell r="S2321">
            <v>2</v>
          </cell>
        </row>
        <row r="2322">
          <cell r="M2322" t="str">
            <v>房租</v>
          </cell>
        </row>
        <row r="2322">
          <cell r="S2322">
            <v>430</v>
          </cell>
        </row>
        <row r="2323">
          <cell r="M2323" t="str">
            <v>保山</v>
          </cell>
        </row>
        <row r="2323">
          <cell r="S2323">
            <v>-5.7</v>
          </cell>
        </row>
        <row r="2324">
          <cell r="M2324" t="str">
            <v>日用</v>
          </cell>
        </row>
        <row r="2324">
          <cell r="S2324">
            <v>3</v>
          </cell>
        </row>
        <row r="2325">
          <cell r="M2325" t="str">
            <v>日用</v>
          </cell>
        </row>
        <row r="2325">
          <cell r="S2325">
            <v>6.8</v>
          </cell>
        </row>
        <row r="2326">
          <cell r="M2326" t="str">
            <v>早餐</v>
          </cell>
        </row>
        <row r="2326">
          <cell r="S2326">
            <v>20</v>
          </cell>
        </row>
        <row r="2327">
          <cell r="M2327" t="str">
            <v>日用</v>
          </cell>
        </row>
        <row r="2327">
          <cell r="S2327">
            <v>9.29</v>
          </cell>
        </row>
        <row r="2328">
          <cell r="M2328" t="str">
            <v>早餐</v>
          </cell>
        </row>
        <row r="2328">
          <cell r="S2328">
            <v>6</v>
          </cell>
        </row>
        <row r="2329">
          <cell r="M2329" t="str">
            <v>日用</v>
          </cell>
        </row>
        <row r="2329">
          <cell r="S2329">
            <v>30</v>
          </cell>
        </row>
        <row r="2330">
          <cell r="M2330" t="str">
            <v>日用</v>
          </cell>
        </row>
        <row r="2330">
          <cell r="S2330">
            <v>4.3</v>
          </cell>
        </row>
        <row r="2331">
          <cell r="M2331" t="str">
            <v>日用</v>
          </cell>
        </row>
        <row r="2331">
          <cell r="S2331">
            <v>1</v>
          </cell>
        </row>
        <row r="2332">
          <cell r="M2332" t="str">
            <v>日用</v>
          </cell>
        </row>
        <row r="2332">
          <cell r="S2332">
            <v>3</v>
          </cell>
        </row>
        <row r="2333">
          <cell r="M2333" t="str">
            <v>小资</v>
          </cell>
        </row>
        <row r="2333">
          <cell r="R2333" t="str">
            <v>门票</v>
          </cell>
          <cell r="S2333">
            <v>38</v>
          </cell>
        </row>
        <row r="2334">
          <cell r="M2334" t="str">
            <v>小资</v>
          </cell>
        </row>
        <row r="2334">
          <cell r="R2334" t="str">
            <v>门票</v>
          </cell>
          <cell r="S2334">
            <v>188</v>
          </cell>
        </row>
        <row r="2335">
          <cell r="M2335" t="str">
            <v>小资</v>
          </cell>
        </row>
        <row r="2335">
          <cell r="R2335" t="str">
            <v>城际</v>
          </cell>
          <cell r="S2335">
            <v>44.5</v>
          </cell>
        </row>
        <row r="2336">
          <cell r="M2336" t="str">
            <v>小资</v>
          </cell>
        </row>
        <row r="2336">
          <cell r="R2336" t="str">
            <v>城内</v>
          </cell>
          <cell r="S2336">
            <v>1</v>
          </cell>
        </row>
        <row r="2337">
          <cell r="M2337" t="str">
            <v>小资</v>
          </cell>
        </row>
        <row r="2337">
          <cell r="R2337" t="str">
            <v>吃喝</v>
          </cell>
          <cell r="S2337">
            <v>9.9</v>
          </cell>
        </row>
        <row r="2338">
          <cell r="M2338" t="str">
            <v>小资</v>
          </cell>
        </row>
        <row r="2338">
          <cell r="R2338" t="str">
            <v>城际</v>
          </cell>
          <cell r="S2338">
            <v>-8.5</v>
          </cell>
        </row>
        <row r="2339">
          <cell r="M2339" t="str">
            <v>小资</v>
          </cell>
        </row>
        <row r="2339">
          <cell r="R2339" t="str">
            <v>吃喝</v>
          </cell>
          <cell r="S2339">
            <v>8</v>
          </cell>
        </row>
        <row r="2340">
          <cell r="M2340" t="str">
            <v>小资</v>
          </cell>
        </row>
        <row r="2340">
          <cell r="R2340" t="str">
            <v>城际</v>
          </cell>
          <cell r="S2340">
            <v>10.5</v>
          </cell>
        </row>
        <row r="2341">
          <cell r="M2341" t="str">
            <v>小资</v>
          </cell>
        </row>
        <row r="2341">
          <cell r="R2341" t="str">
            <v>住宿</v>
          </cell>
          <cell r="S2341">
            <v>101</v>
          </cell>
        </row>
        <row r="2342">
          <cell r="M2342" t="str">
            <v>小资</v>
          </cell>
        </row>
        <row r="2342">
          <cell r="R2342" t="str">
            <v>城内</v>
          </cell>
          <cell r="S2342">
            <v>2</v>
          </cell>
        </row>
        <row r="2343">
          <cell r="M2343" t="str">
            <v>小资</v>
          </cell>
        </row>
        <row r="2343">
          <cell r="R2343" t="str">
            <v>吃喝</v>
          </cell>
          <cell r="S2343">
            <v>1</v>
          </cell>
        </row>
        <row r="2344">
          <cell r="M2344" t="str">
            <v>小资</v>
          </cell>
        </row>
        <row r="2344">
          <cell r="R2344" t="str">
            <v>女人</v>
          </cell>
          <cell r="S2344">
            <v>70</v>
          </cell>
        </row>
        <row r="2345">
          <cell r="M2345" t="str">
            <v>小资</v>
          </cell>
        </row>
        <row r="2345">
          <cell r="R2345" t="str">
            <v>女人</v>
          </cell>
          <cell r="S2345">
            <v>50</v>
          </cell>
        </row>
        <row r="2346">
          <cell r="M2346" t="str">
            <v>小资</v>
          </cell>
        </row>
        <row r="2346">
          <cell r="R2346" t="str">
            <v>女人</v>
          </cell>
          <cell r="S2346">
            <v>50</v>
          </cell>
        </row>
        <row r="2347">
          <cell r="M2347" t="str">
            <v>小资</v>
          </cell>
        </row>
        <row r="2347">
          <cell r="R2347" t="str">
            <v>吃喝</v>
          </cell>
          <cell r="S2347">
            <v>9</v>
          </cell>
        </row>
        <row r="2348">
          <cell r="M2348" t="str">
            <v>小资</v>
          </cell>
        </row>
        <row r="2348">
          <cell r="R2348" t="str">
            <v>吃喝</v>
          </cell>
          <cell r="S2348">
            <v>47.2</v>
          </cell>
        </row>
        <row r="2349">
          <cell r="M2349" t="str">
            <v>小资</v>
          </cell>
        </row>
        <row r="2349">
          <cell r="R2349" t="str">
            <v>住宿</v>
          </cell>
          <cell r="S2349">
            <v>95</v>
          </cell>
        </row>
        <row r="2350">
          <cell r="M2350" t="str">
            <v>小资</v>
          </cell>
        </row>
        <row r="2350">
          <cell r="R2350" t="str">
            <v>话剧</v>
          </cell>
          <cell r="S2350">
            <v>98</v>
          </cell>
        </row>
        <row r="2351">
          <cell r="M2351" t="str">
            <v>小资</v>
          </cell>
        </row>
        <row r="2351">
          <cell r="R2351" t="str">
            <v>吃喝</v>
          </cell>
          <cell r="S2351">
            <v>14</v>
          </cell>
        </row>
        <row r="2352">
          <cell r="M2352" t="str">
            <v>小资</v>
          </cell>
        </row>
        <row r="2352">
          <cell r="R2352" t="str">
            <v>城内</v>
          </cell>
          <cell r="S2352">
            <v>20.8</v>
          </cell>
        </row>
        <row r="2353">
          <cell r="M2353" t="str">
            <v>小资</v>
          </cell>
        </row>
        <row r="2353">
          <cell r="R2353" t="str">
            <v>城内</v>
          </cell>
          <cell r="S2353">
            <v>-9.1</v>
          </cell>
        </row>
        <row r="2354">
          <cell r="M2354" t="str">
            <v>小资</v>
          </cell>
        </row>
        <row r="2354">
          <cell r="R2354" t="str">
            <v>吃喝</v>
          </cell>
          <cell r="S2354">
            <v>1.9</v>
          </cell>
        </row>
        <row r="2355">
          <cell r="M2355" t="str">
            <v>小资</v>
          </cell>
        </row>
        <row r="2355">
          <cell r="R2355" t="str">
            <v>城内</v>
          </cell>
          <cell r="S2355">
            <v>9.24</v>
          </cell>
        </row>
        <row r="2356">
          <cell r="M2356" t="str">
            <v>小资</v>
          </cell>
        </row>
        <row r="2356">
          <cell r="R2356" t="str">
            <v>吃喝</v>
          </cell>
          <cell r="S2356">
            <v>12</v>
          </cell>
        </row>
        <row r="2357">
          <cell r="M2357" t="str">
            <v>小资</v>
          </cell>
        </row>
        <row r="2357">
          <cell r="R2357" t="str">
            <v>吃喝</v>
          </cell>
          <cell r="S2357">
            <v>11</v>
          </cell>
        </row>
        <row r="2358">
          <cell r="M2358" t="str">
            <v>小资</v>
          </cell>
        </row>
        <row r="2358">
          <cell r="R2358" t="str">
            <v>吃喝</v>
          </cell>
          <cell r="S2358">
            <v>18</v>
          </cell>
        </row>
        <row r="2359">
          <cell r="M2359" t="str">
            <v>小资</v>
          </cell>
        </row>
        <row r="2359">
          <cell r="R2359" t="str">
            <v>城际</v>
          </cell>
          <cell r="S2359">
            <v>44.5</v>
          </cell>
        </row>
        <row r="2360">
          <cell r="M2360" t="str">
            <v>小资</v>
          </cell>
        </row>
        <row r="2360">
          <cell r="R2360" t="str">
            <v>城内</v>
          </cell>
          <cell r="S2360">
            <v>11.6</v>
          </cell>
        </row>
        <row r="2361">
          <cell r="M2361" t="str">
            <v>小资</v>
          </cell>
        </row>
        <row r="2361">
          <cell r="R2361" t="str">
            <v>城内</v>
          </cell>
          <cell r="S2361">
            <v>9</v>
          </cell>
        </row>
        <row r="2362">
          <cell r="M2362" t="str">
            <v>小资</v>
          </cell>
        </row>
        <row r="2362">
          <cell r="R2362" t="str">
            <v>吃喝</v>
          </cell>
          <cell r="S2362">
            <v>15</v>
          </cell>
        </row>
        <row r="2363">
          <cell r="M2363" t="str">
            <v>小资</v>
          </cell>
        </row>
        <row r="2363">
          <cell r="R2363" t="str">
            <v>吃喝</v>
          </cell>
          <cell r="S2363">
            <v>6</v>
          </cell>
        </row>
        <row r="2364">
          <cell r="M2364" t="str">
            <v>小资</v>
          </cell>
        </row>
        <row r="2364">
          <cell r="R2364" t="str">
            <v>城内</v>
          </cell>
          <cell r="S2364">
            <v>35.9</v>
          </cell>
        </row>
        <row r="2365">
          <cell r="M2365" t="str">
            <v>早餐</v>
          </cell>
        </row>
        <row r="2365">
          <cell r="S2365">
            <v>5</v>
          </cell>
        </row>
        <row r="2366">
          <cell r="M2366" t="str">
            <v>工资</v>
          </cell>
        </row>
        <row r="2366">
          <cell r="S2366">
            <v>-22000</v>
          </cell>
        </row>
        <row r="2367">
          <cell r="M2367" t="str">
            <v>收回债权</v>
          </cell>
        </row>
        <row r="2367">
          <cell r="S2367">
            <v>-600</v>
          </cell>
        </row>
        <row r="2368">
          <cell r="M2368" t="str">
            <v>个人还款</v>
          </cell>
        </row>
        <row r="2368">
          <cell r="R2368" t="str">
            <v>李志鹏</v>
          </cell>
          <cell r="S2368">
            <v>10000</v>
          </cell>
        </row>
        <row r="2369">
          <cell r="M2369" t="str">
            <v>养育</v>
          </cell>
        </row>
        <row r="2369">
          <cell r="S2369">
            <v>843.2</v>
          </cell>
        </row>
        <row r="2370">
          <cell r="M2370" t="str">
            <v>日用</v>
          </cell>
        </row>
        <row r="2370">
          <cell r="S2370">
            <v>23</v>
          </cell>
        </row>
        <row r="2371">
          <cell r="M2371" t="str">
            <v>小资</v>
          </cell>
        </row>
        <row r="2371">
          <cell r="R2371" t="str">
            <v>吃喝</v>
          </cell>
          <cell r="S2371">
            <v>10</v>
          </cell>
        </row>
        <row r="2372">
          <cell r="M2372" t="str">
            <v>小资</v>
          </cell>
        </row>
        <row r="2372">
          <cell r="R2372" t="str">
            <v>电影</v>
          </cell>
          <cell r="S2372">
            <v>42</v>
          </cell>
        </row>
        <row r="2373">
          <cell r="M2373" t="str">
            <v>小资</v>
          </cell>
        </row>
        <row r="2373">
          <cell r="R2373" t="str">
            <v>电影</v>
          </cell>
          <cell r="S2373">
            <v>10</v>
          </cell>
        </row>
        <row r="2374">
          <cell r="M2374" t="str">
            <v>小资</v>
          </cell>
        </row>
        <row r="2374">
          <cell r="R2374" t="str">
            <v>吃喝</v>
          </cell>
          <cell r="S2374">
            <v>15</v>
          </cell>
        </row>
        <row r="2375">
          <cell r="M2375" t="str">
            <v>小资</v>
          </cell>
        </row>
        <row r="2375">
          <cell r="R2375" t="str">
            <v>吃喝</v>
          </cell>
          <cell r="S2375">
            <v>2</v>
          </cell>
        </row>
        <row r="2376">
          <cell r="M2376" t="str">
            <v>小资</v>
          </cell>
        </row>
        <row r="2376">
          <cell r="R2376" t="str">
            <v>吃喝</v>
          </cell>
          <cell r="S2376">
            <v>44.9</v>
          </cell>
        </row>
        <row r="2377">
          <cell r="M2377" t="str">
            <v>小资</v>
          </cell>
        </row>
        <row r="2377">
          <cell r="R2377" t="str">
            <v>城内</v>
          </cell>
          <cell r="S2377">
            <v>12.5</v>
          </cell>
        </row>
        <row r="2378">
          <cell r="M2378" t="str">
            <v>会员</v>
          </cell>
        </row>
        <row r="2378">
          <cell r="S2378">
            <v>6</v>
          </cell>
        </row>
        <row r="2379">
          <cell r="M2379" t="str">
            <v>小资</v>
          </cell>
        </row>
        <row r="2379">
          <cell r="R2379" t="str">
            <v>吃喝</v>
          </cell>
          <cell r="S2379">
            <v>59.8</v>
          </cell>
        </row>
        <row r="2380">
          <cell r="M2380" t="str">
            <v>孝敬</v>
          </cell>
        </row>
        <row r="2380">
          <cell r="S2380">
            <v>2000</v>
          </cell>
        </row>
        <row r="2381">
          <cell r="M2381" t="str">
            <v>日用</v>
          </cell>
        </row>
        <row r="2381">
          <cell r="S2381">
            <v>2</v>
          </cell>
        </row>
        <row r="2382">
          <cell r="M2382" t="str">
            <v>小资</v>
          </cell>
        </row>
        <row r="2382">
          <cell r="R2382" t="str">
            <v>吃喝</v>
          </cell>
          <cell r="S2382">
            <v>19.12</v>
          </cell>
        </row>
        <row r="2383">
          <cell r="M2383" t="str">
            <v>日用</v>
          </cell>
        </row>
        <row r="2383">
          <cell r="S2383">
            <v>1</v>
          </cell>
        </row>
        <row r="2384">
          <cell r="M2384" t="str">
            <v>早餐</v>
          </cell>
        </row>
        <row r="2384">
          <cell r="S2384">
            <v>2</v>
          </cell>
        </row>
        <row r="2385">
          <cell r="M2385" t="str">
            <v>日用</v>
          </cell>
        </row>
        <row r="2385">
          <cell r="S2385">
            <v>3</v>
          </cell>
        </row>
        <row r="2386">
          <cell r="M2386" t="str">
            <v>话费</v>
          </cell>
        </row>
        <row r="2386">
          <cell r="S2386">
            <v>18.16</v>
          </cell>
        </row>
        <row r="2387">
          <cell r="M2387" t="str">
            <v>话费</v>
          </cell>
        </row>
        <row r="2387">
          <cell r="S2387">
            <v>55.26</v>
          </cell>
        </row>
        <row r="2388">
          <cell r="M2388" t="str">
            <v>话费</v>
          </cell>
        </row>
        <row r="2388">
          <cell r="S2388">
            <v>2.97</v>
          </cell>
        </row>
        <row r="2389">
          <cell r="M2389" t="str">
            <v>话费</v>
          </cell>
        </row>
        <row r="2389">
          <cell r="S2389">
            <v>19.51</v>
          </cell>
        </row>
        <row r="2390">
          <cell r="M2390" t="str">
            <v>话费</v>
          </cell>
        </row>
        <row r="2390">
          <cell r="S2390">
            <v>25.07</v>
          </cell>
        </row>
        <row r="2391">
          <cell r="M2391" t="str">
            <v>话费</v>
          </cell>
        </row>
        <row r="2391">
          <cell r="S2391">
            <v>40.22</v>
          </cell>
        </row>
        <row r="2392">
          <cell r="M2392" t="str">
            <v>话费</v>
          </cell>
        </row>
        <row r="2392">
          <cell r="S2392">
            <v>100</v>
          </cell>
        </row>
        <row r="2393">
          <cell r="M2393" t="str">
            <v>早餐</v>
          </cell>
        </row>
        <row r="2393">
          <cell r="S2393">
            <v>15</v>
          </cell>
        </row>
        <row r="2394">
          <cell r="M2394" t="str">
            <v>日用</v>
          </cell>
        </row>
        <row r="2394">
          <cell r="S2394">
            <v>3</v>
          </cell>
        </row>
        <row r="2395">
          <cell r="M2395" t="str">
            <v>早餐</v>
          </cell>
        </row>
        <row r="2395">
          <cell r="S2395">
            <v>4</v>
          </cell>
        </row>
        <row r="2396">
          <cell r="M2396" t="str">
            <v>社交</v>
          </cell>
        </row>
        <row r="2396">
          <cell r="S2396">
            <v>24</v>
          </cell>
        </row>
        <row r="2397">
          <cell r="M2397" t="str">
            <v>早餐</v>
          </cell>
        </row>
        <row r="2397">
          <cell r="S2397">
            <v>4</v>
          </cell>
        </row>
        <row r="2398">
          <cell r="M2398" t="str">
            <v>会员</v>
          </cell>
        </row>
        <row r="2398">
          <cell r="S2398">
            <v>19</v>
          </cell>
        </row>
        <row r="2399">
          <cell r="M2399" t="str">
            <v>小资</v>
          </cell>
        </row>
        <row r="2399">
          <cell r="R2399" t="str">
            <v>城内</v>
          </cell>
          <cell r="S2399">
            <v>20.6</v>
          </cell>
        </row>
        <row r="2400">
          <cell r="M2400" t="str">
            <v>工资</v>
          </cell>
        </row>
        <row r="2400">
          <cell r="S2400">
            <v>170</v>
          </cell>
        </row>
        <row r="2401">
          <cell r="M2401" t="str">
            <v>话费</v>
          </cell>
        </row>
        <row r="2401">
          <cell r="S2401">
            <v>100</v>
          </cell>
        </row>
        <row r="2402">
          <cell r="M2402" t="str">
            <v>话费</v>
          </cell>
        </row>
        <row r="2402">
          <cell r="S2402">
            <v>50</v>
          </cell>
        </row>
        <row r="2403">
          <cell r="M2403" t="str">
            <v>话费</v>
          </cell>
        </row>
        <row r="2403">
          <cell r="S2403">
            <v>50</v>
          </cell>
        </row>
        <row r="2404">
          <cell r="M2404" t="str">
            <v>日用</v>
          </cell>
        </row>
        <row r="2404">
          <cell r="S2404">
            <v>-0.12</v>
          </cell>
        </row>
        <row r="2405">
          <cell r="M2405" t="str">
            <v>会员</v>
          </cell>
        </row>
        <row r="2405">
          <cell r="S2405">
            <v>25</v>
          </cell>
        </row>
        <row r="2406">
          <cell r="M2406" t="str">
            <v>日用</v>
          </cell>
        </row>
        <row r="2406">
          <cell r="S2406">
            <v>75</v>
          </cell>
        </row>
        <row r="2407">
          <cell r="M2407" t="str">
            <v>工资</v>
          </cell>
        </row>
        <row r="2407">
          <cell r="S2407">
            <v>-170</v>
          </cell>
        </row>
        <row r="2408">
          <cell r="M2408" t="str">
            <v>日用</v>
          </cell>
        </row>
        <row r="2408">
          <cell r="S2408">
            <v>-0.62</v>
          </cell>
        </row>
        <row r="2409">
          <cell r="M2409" t="str">
            <v>网诉</v>
          </cell>
        </row>
        <row r="2409">
          <cell r="S2409">
            <v>200</v>
          </cell>
        </row>
        <row r="2410">
          <cell r="M2410" t="str">
            <v>会员</v>
          </cell>
        </row>
        <row r="2410">
          <cell r="S2410">
            <v>24.02</v>
          </cell>
        </row>
        <row r="2411">
          <cell r="M2411" t="str">
            <v>社交</v>
          </cell>
        </row>
        <row r="2411">
          <cell r="S2411">
            <v>7</v>
          </cell>
        </row>
        <row r="2412">
          <cell r="M2412" t="str">
            <v>恋爱</v>
          </cell>
        </row>
        <row r="2412">
          <cell r="R2412" t="str">
            <v>快递</v>
          </cell>
          <cell r="S2412">
            <v>130</v>
          </cell>
        </row>
        <row r="2413">
          <cell r="M2413" t="str">
            <v>网诉</v>
          </cell>
        </row>
        <row r="2413">
          <cell r="S2413">
            <v>21</v>
          </cell>
        </row>
        <row r="2414">
          <cell r="M2414" t="str">
            <v>读书</v>
          </cell>
        </row>
        <row r="2414">
          <cell r="S2414">
            <v>92.9</v>
          </cell>
        </row>
        <row r="2415">
          <cell r="M2415" t="str">
            <v>社交</v>
          </cell>
        </row>
        <row r="2415">
          <cell r="S2415">
            <v>50</v>
          </cell>
        </row>
        <row r="2416">
          <cell r="M2416" t="str">
            <v>社交</v>
          </cell>
        </row>
        <row r="2416">
          <cell r="S2416">
            <v>147</v>
          </cell>
        </row>
        <row r="2417">
          <cell r="M2417" t="str">
            <v>社交</v>
          </cell>
        </row>
        <row r="2417">
          <cell r="S2417">
            <v>-50</v>
          </cell>
        </row>
        <row r="2418">
          <cell r="M2418" t="str">
            <v>日用</v>
          </cell>
        </row>
        <row r="2418">
          <cell r="S2418">
            <v>9</v>
          </cell>
        </row>
        <row r="2419">
          <cell r="M2419" t="str">
            <v>会员</v>
          </cell>
        </row>
        <row r="2419">
          <cell r="S2419">
            <v>15</v>
          </cell>
        </row>
        <row r="2420">
          <cell r="M2420" t="str">
            <v>日用</v>
          </cell>
        </row>
        <row r="2420">
          <cell r="S2420">
            <v>788</v>
          </cell>
        </row>
        <row r="2421">
          <cell r="M2421" t="str">
            <v>日用</v>
          </cell>
        </row>
        <row r="2421">
          <cell r="S2421">
            <v>599</v>
          </cell>
        </row>
        <row r="2422">
          <cell r="M2422" t="str">
            <v>日用</v>
          </cell>
        </row>
        <row r="2422">
          <cell r="S2422">
            <v>534</v>
          </cell>
        </row>
        <row r="2423">
          <cell r="M2423" t="str">
            <v>日用</v>
          </cell>
        </row>
        <row r="2423">
          <cell r="S2423">
            <v>658</v>
          </cell>
        </row>
        <row r="2424">
          <cell r="M2424" t="str">
            <v>日用</v>
          </cell>
        </row>
        <row r="2424">
          <cell r="S2424">
            <v>859</v>
          </cell>
        </row>
        <row r="2425">
          <cell r="M2425" t="str">
            <v>日用</v>
          </cell>
        </row>
        <row r="2425">
          <cell r="S2425">
            <v>668</v>
          </cell>
        </row>
        <row r="2426">
          <cell r="M2426" t="str">
            <v>日用</v>
          </cell>
        </row>
        <row r="2426">
          <cell r="S2426">
            <v>642</v>
          </cell>
        </row>
        <row r="2427">
          <cell r="M2427" t="str">
            <v>日用</v>
          </cell>
        </row>
        <row r="2427">
          <cell r="S2427">
            <v>-859</v>
          </cell>
        </row>
        <row r="2428">
          <cell r="M2428" t="str">
            <v>日用</v>
          </cell>
        </row>
        <row r="2428">
          <cell r="S2428">
            <v>399</v>
          </cell>
        </row>
        <row r="2429">
          <cell r="M2429" t="str">
            <v>日用</v>
          </cell>
        </row>
        <row r="2429">
          <cell r="S2429">
            <v>284.05</v>
          </cell>
        </row>
        <row r="2430">
          <cell r="M2430" t="str">
            <v>早餐</v>
          </cell>
        </row>
        <row r="2430">
          <cell r="S2430">
            <v>10</v>
          </cell>
        </row>
        <row r="2431">
          <cell r="M2431" t="str">
            <v>小资</v>
          </cell>
        </row>
        <row r="2431">
          <cell r="R2431" t="str">
            <v>城内</v>
          </cell>
          <cell r="S2431">
            <v>5</v>
          </cell>
        </row>
        <row r="2432">
          <cell r="M2432" t="str">
            <v>小资</v>
          </cell>
        </row>
        <row r="2432">
          <cell r="R2432" t="str">
            <v>城内</v>
          </cell>
          <cell r="S2432">
            <v>80</v>
          </cell>
        </row>
        <row r="2433">
          <cell r="M2433" t="str">
            <v>早餐</v>
          </cell>
        </row>
        <row r="2433">
          <cell r="S2433">
            <v>27.5</v>
          </cell>
        </row>
        <row r="2434">
          <cell r="M2434" t="str">
            <v>小资</v>
          </cell>
        </row>
        <row r="2434">
          <cell r="R2434" t="str">
            <v>吃喝</v>
          </cell>
          <cell r="S2434">
            <v>22.9</v>
          </cell>
        </row>
        <row r="2435">
          <cell r="M2435" t="str">
            <v>小资</v>
          </cell>
        </row>
        <row r="2435">
          <cell r="R2435" t="str">
            <v>吃喝</v>
          </cell>
          <cell r="S2435">
            <v>4.4</v>
          </cell>
        </row>
        <row r="2436">
          <cell r="M2436" t="str">
            <v>小资</v>
          </cell>
        </row>
        <row r="2436">
          <cell r="R2436" t="str">
            <v>城内</v>
          </cell>
          <cell r="S2436">
            <v>10.79</v>
          </cell>
        </row>
        <row r="2437">
          <cell r="M2437" t="str">
            <v>日用</v>
          </cell>
        </row>
        <row r="2437">
          <cell r="S2437">
            <v>10</v>
          </cell>
        </row>
        <row r="2438">
          <cell r="M2438" t="str">
            <v>小资</v>
          </cell>
        </row>
        <row r="2438">
          <cell r="R2438" t="str">
            <v>城内</v>
          </cell>
          <cell r="S2438">
            <v>27.7</v>
          </cell>
        </row>
        <row r="2439">
          <cell r="M2439" t="str">
            <v>债权投资</v>
          </cell>
        </row>
        <row r="2439">
          <cell r="S2439">
            <v>3000</v>
          </cell>
        </row>
        <row r="2440">
          <cell r="M2440" t="str">
            <v>早餐</v>
          </cell>
        </row>
        <row r="2440">
          <cell r="S2440">
            <v>2</v>
          </cell>
        </row>
        <row r="2441">
          <cell r="M2441" t="str">
            <v>日用</v>
          </cell>
        </row>
        <row r="2441">
          <cell r="S2441">
            <v>3.68</v>
          </cell>
        </row>
        <row r="2442">
          <cell r="M2442" t="str">
            <v>早餐</v>
          </cell>
        </row>
        <row r="2442">
          <cell r="S2442">
            <v>2</v>
          </cell>
        </row>
        <row r="2443">
          <cell r="M2443" t="str">
            <v>日用</v>
          </cell>
        </row>
        <row r="2443">
          <cell r="S2443">
            <v>2.77</v>
          </cell>
        </row>
        <row r="2444">
          <cell r="M2444" t="str">
            <v>日用</v>
          </cell>
        </row>
        <row r="2444">
          <cell r="S2444">
            <v>-0.14</v>
          </cell>
        </row>
        <row r="2445">
          <cell r="M2445" t="str">
            <v>日用</v>
          </cell>
        </row>
        <row r="2445">
          <cell r="S2445">
            <v>-2.77</v>
          </cell>
        </row>
        <row r="2446">
          <cell r="M2446" t="str">
            <v>会员</v>
          </cell>
        </row>
        <row r="2446">
          <cell r="S2446">
            <v>8</v>
          </cell>
        </row>
        <row r="2447">
          <cell r="M2447" t="str">
            <v>日用</v>
          </cell>
        </row>
        <row r="2447">
          <cell r="S2447">
            <v>-284.05</v>
          </cell>
        </row>
        <row r="2448">
          <cell r="M2448" t="str">
            <v>日用</v>
          </cell>
        </row>
        <row r="2448">
          <cell r="S2448">
            <v>-642</v>
          </cell>
        </row>
        <row r="2449">
          <cell r="M2449" t="str">
            <v>日用</v>
          </cell>
        </row>
        <row r="2449">
          <cell r="S2449">
            <v>-534</v>
          </cell>
        </row>
        <row r="2450">
          <cell r="M2450" t="str">
            <v>社交</v>
          </cell>
        </row>
        <row r="2450">
          <cell r="S2450">
            <v>60</v>
          </cell>
        </row>
        <row r="2451">
          <cell r="M2451" t="str">
            <v>日用</v>
          </cell>
        </row>
        <row r="2451">
          <cell r="S2451">
            <v>27</v>
          </cell>
        </row>
        <row r="2452">
          <cell r="M2452" t="str">
            <v>日用</v>
          </cell>
        </row>
        <row r="2452">
          <cell r="S2452">
            <v>2</v>
          </cell>
        </row>
        <row r="2453">
          <cell r="M2453" t="str">
            <v>日用</v>
          </cell>
        </row>
        <row r="2453">
          <cell r="S2453">
            <v>-2</v>
          </cell>
        </row>
        <row r="2454">
          <cell r="M2454" t="str">
            <v>日用</v>
          </cell>
        </row>
        <row r="2454">
          <cell r="S2454">
            <v>10</v>
          </cell>
        </row>
        <row r="2455">
          <cell r="M2455" t="str">
            <v>日用</v>
          </cell>
        </row>
        <row r="2455">
          <cell r="S2455">
            <v>188</v>
          </cell>
        </row>
        <row r="2456">
          <cell r="M2456" t="str">
            <v>日用</v>
          </cell>
        </row>
        <row r="2456">
          <cell r="S2456">
            <v>228</v>
          </cell>
        </row>
        <row r="2457">
          <cell r="M2457" t="str">
            <v>日用</v>
          </cell>
        </row>
        <row r="2457">
          <cell r="S2457">
            <v>36.9</v>
          </cell>
        </row>
        <row r="2458">
          <cell r="M2458" t="str">
            <v>日用</v>
          </cell>
        </row>
        <row r="2458">
          <cell r="S2458">
            <v>298</v>
          </cell>
        </row>
        <row r="2459">
          <cell r="M2459" t="str">
            <v>日用</v>
          </cell>
        </row>
        <row r="2459">
          <cell r="S2459">
            <v>10.1</v>
          </cell>
        </row>
        <row r="2460">
          <cell r="M2460" t="str">
            <v>日用</v>
          </cell>
        </row>
        <row r="2460">
          <cell r="S2460">
            <v>168</v>
          </cell>
        </row>
        <row r="2461">
          <cell r="M2461" t="str">
            <v>日用</v>
          </cell>
        </row>
        <row r="2461">
          <cell r="S2461">
            <v>15.8</v>
          </cell>
        </row>
        <row r="2462">
          <cell r="M2462" t="str">
            <v>早餐</v>
          </cell>
        </row>
        <row r="2462">
          <cell r="S2462">
            <v>15</v>
          </cell>
        </row>
        <row r="2463">
          <cell r="M2463" t="str">
            <v>日用</v>
          </cell>
        </row>
        <row r="2463">
          <cell r="S2463">
            <v>4.8</v>
          </cell>
        </row>
        <row r="2464">
          <cell r="M2464" t="str">
            <v>日用</v>
          </cell>
        </row>
        <row r="2464">
          <cell r="S2464">
            <v>18</v>
          </cell>
        </row>
        <row r="2465">
          <cell r="M2465" t="str">
            <v>日用</v>
          </cell>
        </row>
        <row r="2465">
          <cell r="S2465">
            <v>-599</v>
          </cell>
        </row>
        <row r="2466">
          <cell r="M2466" t="str">
            <v>课程</v>
          </cell>
        </row>
        <row r="2466">
          <cell r="S2466">
            <v>16.66</v>
          </cell>
        </row>
        <row r="2467">
          <cell r="M2467" t="str">
            <v>课程</v>
          </cell>
        </row>
        <row r="2467">
          <cell r="S2467">
            <v>16.66</v>
          </cell>
        </row>
        <row r="2468">
          <cell r="M2468" t="str">
            <v>日用</v>
          </cell>
        </row>
        <row r="2468">
          <cell r="S2468">
            <v>-3.56</v>
          </cell>
        </row>
        <row r="2469">
          <cell r="M2469" t="str">
            <v>工资</v>
          </cell>
        </row>
        <row r="2469">
          <cell r="S2469">
            <v>170</v>
          </cell>
        </row>
        <row r="2470">
          <cell r="M2470" t="str">
            <v>日用</v>
          </cell>
        </row>
        <row r="2470">
          <cell r="S2470">
            <v>-658</v>
          </cell>
        </row>
        <row r="2471">
          <cell r="M2471" t="str">
            <v>话费</v>
          </cell>
        </row>
        <row r="2471">
          <cell r="S2471">
            <v>29.94</v>
          </cell>
        </row>
        <row r="2472">
          <cell r="M2472" t="str">
            <v>日用</v>
          </cell>
        </row>
        <row r="2472">
          <cell r="S2472">
            <v>4</v>
          </cell>
        </row>
        <row r="2473">
          <cell r="M2473" t="str">
            <v>话费</v>
          </cell>
        </row>
        <row r="2473">
          <cell r="S2473">
            <v>50</v>
          </cell>
        </row>
        <row r="2474">
          <cell r="M2474" t="str">
            <v>小资</v>
          </cell>
        </row>
        <row r="2474">
          <cell r="R2474" t="str">
            <v>城际</v>
          </cell>
          <cell r="S2474">
            <v>44.5</v>
          </cell>
        </row>
        <row r="2475">
          <cell r="M2475" t="str">
            <v>小资</v>
          </cell>
        </row>
        <row r="2475">
          <cell r="R2475" t="str">
            <v>城际</v>
          </cell>
          <cell r="S2475">
            <v>-35.5</v>
          </cell>
        </row>
        <row r="2476">
          <cell r="M2476" t="str">
            <v>小资</v>
          </cell>
        </row>
        <row r="2476">
          <cell r="R2476" t="str">
            <v>城际</v>
          </cell>
          <cell r="S2476">
            <v>44.5</v>
          </cell>
        </row>
        <row r="2477">
          <cell r="M2477" t="str">
            <v>小资</v>
          </cell>
        </row>
        <row r="2477">
          <cell r="R2477" t="str">
            <v>城际</v>
          </cell>
          <cell r="S2477">
            <v>236</v>
          </cell>
        </row>
        <row r="2478">
          <cell r="M2478" t="str">
            <v>小资</v>
          </cell>
        </row>
        <row r="2478">
          <cell r="R2478" t="str">
            <v>住宿</v>
          </cell>
          <cell r="S2478">
            <v>96.18</v>
          </cell>
        </row>
        <row r="2479">
          <cell r="M2479" t="str">
            <v>小资</v>
          </cell>
        </row>
        <row r="2479">
          <cell r="R2479" t="str">
            <v>城内</v>
          </cell>
          <cell r="S2479">
            <v>2</v>
          </cell>
        </row>
        <row r="2480">
          <cell r="M2480" t="str">
            <v>小资</v>
          </cell>
        </row>
        <row r="2480">
          <cell r="R2480" t="str">
            <v>城内</v>
          </cell>
          <cell r="S2480">
            <v>26.8</v>
          </cell>
        </row>
        <row r="2481">
          <cell r="M2481" t="str">
            <v>小资</v>
          </cell>
        </row>
        <row r="2481">
          <cell r="R2481" t="str">
            <v>城内</v>
          </cell>
          <cell r="S2481">
            <v>10</v>
          </cell>
        </row>
        <row r="2482">
          <cell r="M2482" t="str">
            <v>小资</v>
          </cell>
        </row>
        <row r="2482">
          <cell r="R2482" t="str">
            <v>住宿</v>
          </cell>
          <cell r="S2482">
            <v>230</v>
          </cell>
        </row>
        <row r="2483">
          <cell r="M2483" t="str">
            <v>小资</v>
          </cell>
        </row>
        <row r="2483">
          <cell r="R2483" t="str">
            <v>吃喝</v>
          </cell>
          <cell r="S2483">
            <v>90</v>
          </cell>
        </row>
        <row r="2484">
          <cell r="M2484" t="str">
            <v>小资</v>
          </cell>
        </row>
        <row r="2484">
          <cell r="R2484" t="str">
            <v>城内</v>
          </cell>
          <cell r="S2484">
            <v>8.8</v>
          </cell>
        </row>
        <row r="2485">
          <cell r="M2485" t="str">
            <v>日用</v>
          </cell>
        </row>
        <row r="2485">
          <cell r="S2485">
            <v>5.3</v>
          </cell>
        </row>
        <row r="2486">
          <cell r="M2486" t="str">
            <v>小资</v>
          </cell>
        </row>
        <row r="2486">
          <cell r="R2486" t="str">
            <v>游玩</v>
          </cell>
          <cell r="S2486">
            <v>97</v>
          </cell>
        </row>
        <row r="2487">
          <cell r="M2487" t="str">
            <v>小资</v>
          </cell>
        </row>
        <row r="2487">
          <cell r="R2487" t="str">
            <v>游玩</v>
          </cell>
          <cell r="S2487">
            <v>-65</v>
          </cell>
        </row>
        <row r="2488">
          <cell r="M2488" t="str">
            <v>小资</v>
          </cell>
        </row>
        <row r="2488">
          <cell r="R2488" t="str">
            <v>吃喝</v>
          </cell>
          <cell r="S2488">
            <v>174</v>
          </cell>
        </row>
        <row r="2489">
          <cell r="M2489" t="str">
            <v>小资</v>
          </cell>
        </row>
        <row r="2489">
          <cell r="R2489" t="str">
            <v>住宿</v>
          </cell>
          <cell r="S2489">
            <v>321.53</v>
          </cell>
        </row>
        <row r="2490">
          <cell r="M2490" t="str">
            <v>小资</v>
          </cell>
        </row>
        <row r="2490">
          <cell r="R2490" t="str">
            <v>吃喝</v>
          </cell>
          <cell r="S2490">
            <v>17</v>
          </cell>
        </row>
        <row r="2491">
          <cell r="M2491" t="str">
            <v>小资</v>
          </cell>
        </row>
        <row r="2491">
          <cell r="R2491" t="str">
            <v>门票</v>
          </cell>
          <cell r="S2491">
            <v>230</v>
          </cell>
        </row>
        <row r="2492">
          <cell r="M2492" t="str">
            <v>小资</v>
          </cell>
        </row>
        <row r="2492">
          <cell r="R2492" t="str">
            <v>吃喝</v>
          </cell>
          <cell r="S2492">
            <v>42</v>
          </cell>
        </row>
        <row r="2493">
          <cell r="M2493" t="str">
            <v>小资</v>
          </cell>
        </row>
        <row r="2493">
          <cell r="R2493" t="str">
            <v>游玩</v>
          </cell>
          <cell r="S2493">
            <v>120</v>
          </cell>
        </row>
        <row r="2494">
          <cell r="M2494" t="str">
            <v>小资</v>
          </cell>
        </row>
        <row r="2494">
          <cell r="R2494" t="str">
            <v>城内</v>
          </cell>
          <cell r="S2494">
            <v>108</v>
          </cell>
        </row>
        <row r="2495">
          <cell r="M2495" t="str">
            <v>小资</v>
          </cell>
        </row>
        <row r="2495">
          <cell r="R2495" t="str">
            <v>吃喝</v>
          </cell>
          <cell r="S2495">
            <v>5</v>
          </cell>
        </row>
        <row r="2496">
          <cell r="M2496" t="str">
            <v>日用</v>
          </cell>
        </row>
        <row r="2496">
          <cell r="S2496">
            <v>23.8</v>
          </cell>
        </row>
        <row r="2497">
          <cell r="M2497" t="str">
            <v>小资</v>
          </cell>
        </row>
        <row r="2497">
          <cell r="R2497" t="str">
            <v>吃喝</v>
          </cell>
          <cell r="S2497">
            <v>19</v>
          </cell>
        </row>
        <row r="2498">
          <cell r="M2498" t="str">
            <v>小资</v>
          </cell>
        </row>
        <row r="2498">
          <cell r="R2498" t="str">
            <v>吃喝</v>
          </cell>
          <cell r="S2498">
            <v>28.5</v>
          </cell>
        </row>
        <row r="2499">
          <cell r="M2499" t="str">
            <v>小资</v>
          </cell>
        </row>
        <row r="2499">
          <cell r="R2499" t="str">
            <v>门票</v>
          </cell>
          <cell r="S2499">
            <v>48</v>
          </cell>
        </row>
        <row r="2500">
          <cell r="M2500" t="str">
            <v>小资</v>
          </cell>
        </row>
        <row r="2500">
          <cell r="R2500" t="str">
            <v>住宿</v>
          </cell>
          <cell r="S2500">
            <v>256</v>
          </cell>
        </row>
        <row r="2501">
          <cell r="M2501" t="str">
            <v>小资</v>
          </cell>
        </row>
        <row r="2501">
          <cell r="R2501" t="str">
            <v>城内</v>
          </cell>
          <cell r="S2501">
            <v>30</v>
          </cell>
        </row>
        <row r="2502">
          <cell r="M2502" t="str">
            <v>小资</v>
          </cell>
        </row>
        <row r="2502">
          <cell r="R2502" t="str">
            <v>游玩</v>
          </cell>
          <cell r="S2502">
            <v>10</v>
          </cell>
        </row>
        <row r="2503">
          <cell r="M2503" t="str">
            <v>小资</v>
          </cell>
        </row>
        <row r="2503">
          <cell r="R2503" t="str">
            <v>吃喝</v>
          </cell>
          <cell r="S2503">
            <v>20</v>
          </cell>
        </row>
        <row r="2504">
          <cell r="M2504" t="str">
            <v>小资</v>
          </cell>
        </row>
        <row r="2504">
          <cell r="R2504" t="str">
            <v>游玩</v>
          </cell>
          <cell r="S2504">
            <v>100</v>
          </cell>
        </row>
        <row r="2505">
          <cell r="M2505" t="str">
            <v>小资</v>
          </cell>
        </row>
        <row r="2505">
          <cell r="R2505" t="str">
            <v>吃喝</v>
          </cell>
          <cell r="S2505">
            <v>20</v>
          </cell>
        </row>
        <row r="2506">
          <cell r="M2506" t="str">
            <v>小资</v>
          </cell>
        </row>
        <row r="2506">
          <cell r="R2506" t="str">
            <v>门票</v>
          </cell>
          <cell r="S2506">
            <v>55</v>
          </cell>
        </row>
        <row r="2507">
          <cell r="M2507" t="str">
            <v>小资</v>
          </cell>
        </row>
        <row r="2507">
          <cell r="R2507" t="str">
            <v>游玩</v>
          </cell>
          <cell r="S2507">
            <v>60</v>
          </cell>
        </row>
        <row r="2508">
          <cell r="M2508" t="str">
            <v>小资</v>
          </cell>
        </row>
        <row r="2508">
          <cell r="R2508" t="str">
            <v>住宿</v>
          </cell>
          <cell r="S2508">
            <v>261</v>
          </cell>
        </row>
        <row r="2509">
          <cell r="M2509" t="str">
            <v>小资</v>
          </cell>
        </row>
        <row r="2509">
          <cell r="R2509" t="str">
            <v>吃喝</v>
          </cell>
          <cell r="S2509">
            <v>118</v>
          </cell>
        </row>
        <row r="2510">
          <cell r="M2510" t="str">
            <v>小资</v>
          </cell>
        </row>
        <row r="2510">
          <cell r="R2510" t="str">
            <v>吃喝</v>
          </cell>
          <cell r="S2510">
            <v>30</v>
          </cell>
        </row>
        <row r="2511">
          <cell r="M2511" t="str">
            <v>小资</v>
          </cell>
        </row>
        <row r="2511">
          <cell r="R2511" t="str">
            <v>吃喝</v>
          </cell>
          <cell r="S2511">
            <v>40</v>
          </cell>
        </row>
        <row r="2512">
          <cell r="M2512" t="str">
            <v>小资</v>
          </cell>
        </row>
        <row r="2512">
          <cell r="R2512" t="str">
            <v>游玩</v>
          </cell>
          <cell r="S2512">
            <v>60</v>
          </cell>
        </row>
        <row r="2513">
          <cell r="M2513" t="str">
            <v>小资</v>
          </cell>
        </row>
        <row r="2513">
          <cell r="R2513" t="str">
            <v>游玩</v>
          </cell>
          <cell r="S2513">
            <v>60</v>
          </cell>
        </row>
        <row r="2514">
          <cell r="M2514" t="str">
            <v>日用</v>
          </cell>
        </row>
        <row r="2514">
          <cell r="S2514">
            <v>-298</v>
          </cell>
        </row>
        <row r="2515">
          <cell r="M2515" t="str">
            <v>小资</v>
          </cell>
        </row>
        <row r="2515">
          <cell r="R2515" t="str">
            <v>吃喝</v>
          </cell>
          <cell r="S2515">
            <v>216</v>
          </cell>
        </row>
        <row r="2516">
          <cell r="M2516" t="str">
            <v>小资</v>
          </cell>
        </row>
        <row r="2516">
          <cell r="R2516" t="str">
            <v>吃喝</v>
          </cell>
          <cell r="S2516">
            <v>-108</v>
          </cell>
        </row>
        <row r="2517">
          <cell r="M2517" t="str">
            <v>小资</v>
          </cell>
        </row>
        <row r="2517">
          <cell r="R2517" t="str">
            <v>吃喝</v>
          </cell>
          <cell r="S2517">
            <v>40</v>
          </cell>
        </row>
        <row r="2518">
          <cell r="M2518" t="str">
            <v>小资</v>
          </cell>
        </row>
        <row r="2518">
          <cell r="R2518" t="str">
            <v>吃喝</v>
          </cell>
          <cell r="S2518">
            <v>35</v>
          </cell>
        </row>
        <row r="2519">
          <cell r="M2519" t="str">
            <v>小资</v>
          </cell>
        </row>
        <row r="2519">
          <cell r="R2519" t="str">
            <v>游玩</v>
          </cell>
          <cell r="S2519">
            <v>60</v>
          </cell>
        </row>
        <row r="2520">
          <cell r="M2520" t="str">
            <v>小资</v>
          </cell>
        </row>
        <row r="2520">
          <cell r="R2520" t="str">
            <v>游玩</v>
          </cell>
          <cell r="S2520">
            <v>150</v>
          </cell>
        </row>
        <row r="2521">
          <cell r="M2521" t="str">
            <v>小资</v>
          </cell>
        </row>
        <row r="2521">
          <cell r="R2521" t="str">
            <v>城内</v>
          </cell>
          <cell r="S2521">
            <v>50</v>
          </cell>
        </row>
        <row r="2522">
          <cell r="M2522" t="str">
            <v>小资</v>
          </cell>
        </row>
        <row r="2522">
          <cell r="R2522" t="str">
            <v>游玩</v>
          </cell>
          <cell r="S2522">
            <v>-40</v>
          </cell>
        </row>
        <row r="2523">
          <cell r="M2523" t="str">
            <v>小资</v>
          </cell>
        </row>
        <row r="2523">
          <cell r="R2523" t="str">
            <v>城际</v>
          </cell>
          <cell r="S2523">
            <v>260</v>
          </cell>
        </row>
        <row r="2524">
          <cell r="M2524" t="str">
            <v>日用</v>
          </cell>
        </row>
        <row r="2524">
          <cell r="S2524">
            <v>-228</v>
          </cell>
        </row>
        <row r="2525">
          <cell r="M2525" t="str">
            <v>小资</v>
          </cell>
        </row>
        <row r="2525">
          <cell r="R2525" t="str">
            <v>城内</v>
          </cell>
          <cell r="S2525">
            <v>50</v>
          </cell>
        </row>
        <row r="2526">
          <cell r="M2526" t="str">
            <v>小资</v>
          </cell>
        </row>
        <row r="2526">
          <cell r="R2526" t="str">
            <v>吃喝</v>
          </cell>
          <cell r="S2526">
            <v>12</v>
          </cell>
        </row>
        <row r="2527">
          <cell r="M2527" t="str">
            <v>小资</v>
          </cell>
        </row>
        <row r="2527">
          <cell r="R2527" t="str">
            <v>住宿</v>
          </cell>
          <cell r="S2527">
            <v>98</v>
          </cell>
        </row>
        <row r="2528">
          <cell r="M2528" t="str">
            <v>小资</v>
          </cell>
        </row>
        <row r="2528">
          <cell r="R2528" t="str">
            <v>吃喝</v>
          </cell>
          <cell r="S2528">
            <v>23.89</v>
          </cell>
        </row>
        <row r="2529">
          <cell r="M2529" t="str">
            <v>小资</v>
          </cell>
        </row>
        <row r="2529">
          <cell r="R2529" t="str">
            <v>吃喝</v>
          </cell>
          <cell r="S2529">
            <v>40.89</v>
          </cell>
        </row>
        <row r="2530">
          <cell r="M2530" t="str">
            <v>小资</v>
          </cell>
        </row>
        <row r="2530">
          <cell r="R2530" t="str">
            <v>城内</v>
          </cell>
          <cell r="S2530">
            <v>2</v>
          </cell>
        </row>
        <row r="2531">
          <cell r="M2531" t="str">
            <v>小资</v>
          </cell>
        </row>
        <row r="2531">
          <cell r="R2531" t="str">
            <v>城际</v>
          </cell>
          <cell r="S2531">
            <v>44.5</v>
          </cell>
        </row>
        <row r="2532">
          <cell r="M2532" t="str">
            <v>小资</v>
          </cell>
        </row>
        <row r="2532">
          <cell r="R2532" t="str">
            <v>城内</v>
          </cell>
          <cell r="S2532">
            <v>8.71</v>
          </cell>
        </row>
        <row r="2533">
          <cell r="M2533" t="str">
            <v>小资</v>
          </cell>
        </row>
        <row r="2533">
          <cell r="R2533" t="str">
            <v>吃喝</v>
          </cell>
          <cell r="S2533">
            <v>20</v>
          </cell>
        </row>
        <row r="2534">
          <cell r="M2534" t="str">
            <v>房租</v>
          </cell>
        </row>
        <row r="2534">
          <cell r="S2534">
            <v>430</v>
          </cell>
        </row>
        <row r="2535">
          <cell r="M2535" t="str">
            <v>小资</v>
          </cell>
        </row>
        <row r="2535">
          <cell r="R2535" t="str">
            <v>城内</v>
          </cell>
          <cell r="S2535">
            <v>38.4</v>
          </cell>
        </row>
        <row r="2536">
          <cell r="M2536" t="str">
            <v>课程</v>
          </cell>
        </row>
        <row r="2536">
          <cell r="S2536">
            <v>5</v>
          </cell>
        </row>
        <row r="2537">
          <cell r="M2537" t="str">
            <v>课程</v>
          </cell>
        </row>
        <row r="2537">
          <cell r="S2537">
            <v>-5</v>
          </cell>
        </row>
        <row r="2538">
          <cell r="M2538" t="str">
            <v>会员</v>
          </cell>
        </row>
        <row r="2538">
          <cell r="S2538">
            <v>6</v>
          </cell>
        </row>
        <row r="2539">
          <cell r="M2539" t="str">
            <v>会员</v>
          </cell>
        </row>
        <row r="2539">
          <cell r="S2539">
            <v>19</v>
          </cell>
        </row>
        <row r="2540">
          <cell r="M2540" t="str">
            <v>话费</v>
          </cell>
        </row>
        <row r="2540">
          <cell r="S2540">
            <v>50</v>
          </cell>
        </row>
        <row r="2541">
          <cell r="M2541" t="str">
            <v>话费</v>
          </cell>
        </row>
        <row r="2541">
          <cell r="S2541">
            <v>-40</v>
          </cell>
        </row>
        <row r="2542">
          <cell r="M2542" t="str">
            <v>话费</v>
          </cell>
        </row>
        <row r="2542">
          <cell r="S2542">
            <v>50</v>
          </cell>
        </row>
        <row r="2543">
          <cell r="M2543" t="str">
            <v>小资</v>
          </cell>
        </row>
        <row r="2543">
          <cell r="R2543" t="str">
            <v>城内</v>
          </cell>
          <cell r="S2543">
            <v>3</v>
          </cell>
        </row>
        <row r="2544">
          <cell r="M2544" t="str">
            <v>小资</v>
          </cell>
        </row>
        <row r="2544">
          <cell r="R2544" t="str">
            <v>吃喝</v>
          </cell>
          <cell r="S2544">
            <v>10</v>
          </cell>
        </row>
        <row r="2545">
          <cell r="M2545" t="str">
            <v>小资</v>
          </cell>
        </row>
        <row r="2545">
          <cell r="R2545" t="str">
            <v>吃喝</v>
          </cell>
          <cell r="S2545">
            <v>9</v>
          </cell>
        </row>
        <row r="2546">
          <cell r="M2546" t="str">
            <v>日用</v>
          </cell>
        </row>
        <row r="2546">
          <cell r="S2546">
            <v>65.12</v>
          </cell>
        </row>
        <row r="2547">
          <cell r="M2547" t="str">
            <v>风险金</v>
          </cell>
        </row>
        <row r="2547">
          <cell r="S2547">
            <v>5000</v>
          </cell>
        </row>
        <row r="2548">
          <cell r="M2548" t="str">
            <v>小资</v>
          </cell>
        </row>
        <row r="2548">
          <cell r="R2548" t="str">
            <v>住宿</v>
          </cell>
          <cell r="S2548">
            <v>80</v>
          </cell>
        </row>
        <row r="2549">
          <cell r="M2549" t="str">
            <v>小资</v>
          </cell>
        </row>
        <row r="2549">
          <cell r="R2549" t="str">
            <v>吃喝</v>
          </cell>
          <cell r="S2549">
            <v>15</v>
          </cell>
        </row>
        <row r="2550">
          <cell r="M2550" t="str">
            <v>小资</v>
          </cell>
        </row>
        <row r="2550">
          <cell r="R2550" t="str">
            <v>吃喝</v>
          </cell>
          <cell r="S2550">
            <v>33.8</v>
          </cell>
        </row>
        <row r="2551">
          <cell r="M2551" t="str">
            <v>小资</v>
          </cell>
        </row>
        <row r="2551">
          <cell r="R2551" t="str">
            <v>城内</v>
          </cell>
          <cell r="S2551">
            <v>6.5</v>
          </cell>
        </row>
        <row r="2552">
          <cell r="M2552" t="str">
            <v>小资</v>
          </cell>
        </row>
        <row r="2552">
          <cell r="R2552" t="str">
            <v>吃喝</v>
          </cell>
          <cell r="S2552">
            <v>33</v>
          </cell>
        </row>
        <row r="2553">
          <cell r="M2553" t="str">
            <v>小资</v>
          </cell>
        </row>
        <row r="2553">
          <cell r="R2553" t="str">
            <v>城内</v>
          </cell>
          <cell r="S2553">
            <v>19.8</v>
          </cell>
        </row>
        <row r="2554">
          <cell r="M2554" t="str">
            <v>收回债权</v>
          </cell>
        </row>
        <row r="2554">
          <cell r="R2554" t="str">
            <v>城内</v>
          </cell>
          <cell r="S2554">
            <v>-3000</v>
          </cell>
        </row>
        <row r="2555">
          <cell r="M2555" t="str">
            <v>社交</v>
          </cell>
        </row>
        <row r="2555">
          <cell r="R2555" t="str">
            <v>城内</v>
          </cell>
          <cell r="S2555">
            <v>-6.88</v>
          </cell>
        </row>
        <row r="2556">
          <cell r="M2556" t="str">
            <v>社交</v>
          </cell>
        </row>
        <row r="2556">
          <cell r="R2556" t="str">
            <v>城内</v>
          </cell>
          <cell r="S2556">
            <v>-66.88</v>
          </cell>
        </row>
        <row r="2557">
          <cell r="M2557" t="str">
            <v>社交</v>
          </cell>
        </row>
        <row r="2557">
          <cell r="R2557" t="str">
            <v>城内</v>
          </cell>
          <cell r="S2557">
            <v>-32.08</v>
          </cell>
        </row>
        <row r="2558">
          <cell r="M2558" t="str">
            <v>社交</v>
          </cell>
        </row>
        <row r="2558">
          <cell r="S2558">
            <v>15</v>
          </cell>
        </row>
        <row r="2559">
          <cell r="M2559" t="str">
            <v>社交</v>
          </cell>
        </row>
        <row r="2559">
          <cell r="S2559">
            <v>24</v>
          </cell>
        </row>
        <row r="2560">
          <cell r="M2560" t="str">
            <v>工资</v>
          </cell>
        </row>
        <row r="2560">
          <cell r="S2560">
            <v>-10000</v>
          </cell>
        </row>
        <row r="2561">
          <cell r="M2561" t="str">
            <v>工资</v>
          </cell>
        </row>
        <row r="2561">
          <cell r="S2561">
            <v>-12000</v>
          </cell>
        </row>
        <row r="2562">
          <cell r="M2562" t="str">
            <v>孝敬</v>
          </cell>
        </row>
        <row r="2562">
          <cell r="S2562">
            <v>2000</v>
          </cell>
        </row>
        <row r="2563">
          <cell r="M2563" t="str">
            <v>养育</v>
          </cell>
        </row>
        <row r="2563">
          <cell r="S2563">
            <v>699</v>
          </cell>
        </row>
        <row r="2564">
          <cell r="M2564" t="str">
            <v>风险金</v>
          </cell>
        </row>
        <row r="2564">
          <cell r="S2564">
            <v>2600</v>
          </cell>
        </row>
        <row r="2565">
          <cell r="M2565" t="str">
            <v>话费</v>
          </cell>
        </row>
        <row r="2565">
          <cell r="S2565">
            <v>50</v>
          </cell>
        </row>
        <row r="2566">
          <cell r="M2566" t="str">
            <v>出行</v>
          </cell>
        </row>
        <row r="2566">
          <cell r="S2566">
            <v>3</v>
          </cell>
        </row>
        <row r="2567">
          <cell r="M2567" t="str">
            <v>会员</v>
          </cell>
        </row>
        <row r="2567">
          <cell r="S2567">
            <v>8</v>
          </cell>
        </row>
        <row r="2568">
          <cell r="M2568" t="str">
            <v>早餐</v>
          </cell>
        </row>
        <row r="2568">
          <cell r="S2568">
            <v>12</v>
          </cell>
        </row>
        <row r="2569">
          <cell r="M2569" t="str">
            <v>早餐</v>
          </cell>
        </row>
        <row r="2569">
          <cell r="S2569">
            <v>2</v>
          </cell>
        </row>
        <row r="2570">
          <cell r="M2570" t="str">
            <v>小资</v>
          </cell>
        </row>
        <row r="2570">
          <cell r="R2570" t="str">
            <v>吃喝</v>
          </cell>
          <cell r="S2570">
            <v>15</v>
          </cell>
        </row>
        <row r="2571">
          <cell r="M2571" t="str">
            <v>小资</v>
          </cell>
        </row>
        <row r="2571">
          <cell r="R2571" t="str">
            <v>吃喝</v>
          </cell>
          <cell r="S2571">
            <v>81</v>
          </cell>
        </row>
        <row r="2572">
          <cell r="M2572" t="str">
            <v>日用</v>
          </cell>
        </row>
        <row r="2572">
          <cell r="S2572">
            <v>38.36</v>
          </cell>
        </row>
        <row r="2573">
          <cell r="M2573" t="str">
            <v>日用</v>
          </cell>
        </row>
        <row r="2573">
          <cell r="S2573">
            <v>56.79</v>
          </cell>
        </row>
        <row r="2574">
          <cell r="M2574" t="str">
            <v>出行</v>
          </cell>
        </row>
        <row r="2574">
          <cell r="S2574">
            <v>1</v>
          </cell>
        </row>
        <row r="2575">
          <cell r="M2575" t="str">
            <v>出行</v>
          </cell>
        </row>
        <row r="2575">
          <cell r="S2575">
            <v>2</v>
          </cell>
        </row>
        <row r="2576">
          <cell r="M2576" t="str">
            <v>话费</v>
          </cell>
        </row>
        <row r="2576">
          <cell r="S2576">
            <v>50</v>
          </cell>
        </row>
        <row r="2577">
          <cell r="M2577" t="str">
            <v>早餐</v>
          </cell>
        </row>
        <row r="2577">
          <cell r="S2577">
            <v>15</v>
          </cell>
        </row>
        <row r="2578">
          <cell r="M2578" t="str">
            <v>早餐</v>
          </cell>
        </row>
        <row r="2578">
          <cell r="S2578">
            <v>5</v>
          </cell>
        </row>
        <row r="2579">
          <cell r="M2579" t="str">
            <v>小资</v>
          </cell>
        </row>
        <row r="2579">
          <cell r="R2579" t="str">
            <v>吃喝</v>
          </cell>
          <cell r="S2579">
            <v>18</v>
          </cell>
        </row>
        <row r="2580">
          <cell r="M2580" t="str">
            <v>小资</v>
          </cell>
        </row>
        <row r="2580">
          <cell r="R2580" t="str">
            <v>吃喝</v>
          </cell>
          <cell r="S2580">
            <v>6</v>
          </cell>
        </row>
        <row r="2581">
          <cell r="M2581" t="str">
            <v>小资</v>
          </cell>
        </row>
        <row r="2581">
          <cell r="R2581" t="str">
            <v>吃喝</v>
          </cell>
          <cell r="S2581">
            <v>12</v>
          </cell>
        </row>
        <row r="2582">
          <cell r="M2582" t="str">
            <v>小资</v>
          </cell>
        </row>
        <row r="2582">
          <cell r="R2582" t="str">
            <v>吃喝</v>
          </cell>
          <cell r="S2582">
            <v>15</v>
          </cell>
        </row>
        <row r="2583">
          <cell r="M2583" t="str">
            <v>小资</v>
          </cell>
        </row>
        <row r="2583">
          <cell r="R2583" t="str">
            <v>吃喝</v>
          </cell>
          <cell r="S2583">
            <v>4</v>
          </cell>
        </row>
        <row r="2584">
          <cell r="M2584" t="str">
            <v>风险金</v>
          </cell>
        </row>
        <row r="2584">
          <cell r="S2584">
            <v>2400</v>
          </cell>
        </row>
        <row r="2585">
          <cell r="M2585" t="str">
            <v>小资</v>
          </cell>
        </row>
        <row r="2585">
          <cell r="R2585" t="str">
            <v>城内</v>
          </cell>
          <cell r="S2585">
            <v>13.3</v>
          </cell>
        </row>
        <row r="2586">
          <cell r="M2586" t="str">
            <v>小资</v>
          </cell>
        </row>
        <row r="2586">
          <cell r="R2586" t="str">
            <v>城内</v>
          </cell>
          <cell r="S2586">
            <v>19</v>
          </cell>
        </row>
        <row r="2587">
          <cell r="M2587" t="str">
            <v>养育</v>
          </cell>
        </row>
        <row r="2587">
          <cell r="S2587">
            <v>1200</v>
          </cell>
        </row>
        <row r="2588">
          <cell r="M2588" t="str">
            <v>日用</v>
          </cell>
        </row>
        <row r="2588">
          <cell r="S2588">
            <v>4.46</v>
          </cell>
        </row>
        <row r="2589">
          <cell r="M2589" t="str">
            <v>小资</v>
          </cell>
        </row>
        <row r="2589">
          <cell r="R2589" t="str">
            <v>城际</v>
          </cell>
          <cell r="S2589">
            <v>44.5</v>
          </cell>
        </row>
        <row r="2590">
          <cell r="M2590" t="str">
            <v>日用</v>
          </cell>
        </row>
        <row r="2590">
          <cell r="S2590">
            <v>3</v>
          </cell>
        </row>
        <row r="2591">
          <cell r="M2591" t="str">
            <v>早餐</v>
          </cell>
        </row>
        <row r="2591">
          <cell r="S2591">
            <v>12</v>
          </cell>
        </row>
        <row r="2592">
          <cell r="M2592" t="str">
            <v>小资</v>
          </cell>
        </row>
        <row r="2592">
          <cell r="R2592" t="str">
            <v>城际</v>
          </cell>
          <cell r="S2592">
            <v>-35.5</v>
          </cell>
        </row>
        <row r="2593">
          <cell r="M2593" t="str">
            <v>小资</v>
          </cell>
        </row>
        <row r="2593">
          <cell r="R2593" t="str">
            <v>住宿</v>
          </cell>
          <cell r="S2593">
            <v>123</v>
          </cell>
        </row>
        <row r="2594">
          <cell r="M2594" t="str">
            <v>小资</v>
          </cell>
        </row>
        <row r="2594">
          <cell r="R2594" t="str">
            <v>城际</v>
          </cell>
          <cell r="S2594">
            <v>44.5</v>
          </cell>
        </row>
        <row r="2595">
          <cell r="M2595" t="str">
            <v>小资</v>
          </cell>
        </row>
        <row r="2595">
          <cell r="R2595" t="str">
            <v>城内</v>
          </cell>
          <cell r="S2595">
            <v>16</v>
          </cell>
        </row>
        <row r="2596">
          <cell r="M2596" t="str">
            <v>小资</v>
          </cell>
        </row>
        <row r="2596">
          <cell r="R2596" t="str">
            <v>药品</v>
          </cell>
          <cell r="S2596">
            <v>48.13</v>
          </cell>
        </row>
        <row r="2597">
          <cell r="M2597" t="str">
            <v>日用</v>
          </cell>
        </row>
        <row r="2597">
          <cell r="S2597">
            <v>20.88</v>
          </cell>
        </row>
        <row r="2598">
          <cell r="M2598" t="str">
            <v>日用</v>
          </cell>
        </row>
        <row r="2598">
          <cell r="S2598">
            <v>28.3</v>
          </cell>
        </row>
        <row r="2599">
          <cell r="M2599" t="str">
            <v>日用</v>
          </cell>
        </row>
        <row r="2599">
          <cell r="S2599">
            <v>2</v>
          </cell>
        </row>
        <row r="2600">
          <cell r="M2600" t="str">
            <v>小资</v>
          </cell>
        </row>
        <row r="2600">
          <cell r="R2600" t="str">
            <v>女人</v>
          </cell>
          <cell r="S2600">
            <v>1800</v>
          </cell>
        </row>
        <row r="2601">
          <cell r="M2601" t="str">
            <v>早餐</v>
          </cell>
        </row>
        <row r="2601">
          <cell r="S2601">
            <v>6</v>
          </cell>
        </row>
        <row r="2602">
          <cell r="M2602" t="str">
            <v>早餐</v>
          </cell>
        </row>
        <row r="2602">
          <cell r="S2602">
            <v>3</v>
          </cell>
        </row>
        <row r="2603">
          <cell r="M2603" t="str">
            <v>夜宵</v>
          </cell>
        </row>
        <row r="2603">
          <cell r="S2603">
            <v>30</v>
          </cell>
        </row>
        <row r="2604">
          <cell r="M2604" t="str">
            <v>小资</v>
          </cell>
        </row>
        <row r="2604">
          <cell r="R2604" t="str">
            <v>女人</v>
          </cell>
          <cell r="S2604">
            <v>50</v>
          </cell>
        </row>
        <row r="2605">
          <cell r="M2605" t="str">
            <v>房租</v>
          </cell>
        </row>
        <row r="2605">
          <cell r="S2605">
            <v>430</v>
          </cell>
        </row>
        <row r="2606">
          <cell r="M2606" t="str">
            <v>早餐</v>
          </cell>
        </row>
        <row r="2606">
          <cell r="S2606">
            <v>6</v>
          </cell>
        </row>
        <row r="2607">
          <cell r="M2607" t="str">
            <v>日用</v>
          </cell>
        </row>
        <row r="2607">
          <cell r="S2607">
            <v>4</v>
          </cell>
        </row>
        <row r="2608">
          <cell r="M2608" t="str">
            <v>小资</v>
          </cell>
        </row>
        <row r="2608">
          <cell r="R2608" t="str">
            <v>城际</v>
          </cell>
          <cell r="S2608">
            <v>44.5</v>
          </cell>
        </row>
        <row r="2609">
          <cell r="M2609" t="str">
            <v>出行</v>
          </cell>
        </row>
        <row r="2609">
          <cell r="S2609">
            <v>9.2</v>
          </cell>
        </row>
        <row r="2610">
          <cell r="M2610" t="str">
            <v>早餐</v>
          </cell>
        </row>
        <row r="2610">
          <cell r="S2610">
            <v>28</v>
          </cell>
        </row>
        <row r="2611">
          <cell r="M2611" t="str">
            <v>出行</v>
          </cell>
        </row>
        <row r="2611">
          <cell r="S2611">
            <v>8.8</v>
          </cell>
        </row>
        <row r="2612">
          <cell r="M2612" t="str">
            <v>水费</v>
          </cell>
        </row>
        <row r="2612">
          <cell r="S2612">
            <v>9</v>
          </cell>
        </row>
        <row r="2613">
          <cell r="M2613" t="str">
            <v>日用</v>
          </cell>
        </row>
        <row r="2613">
          <cell r="S2613">
            <v>7</v>
          </cell>
        </row>
        <row r="2614">
          <cell r="M2614" t="str">
            <v>小资</v>
          </cell>
        </row>
        <row r="2614">
          <cell r="R2614" t="str">
            <v>城内</v>
          </cell>
          <cell r="S2614">
            <v>17.6</v>
          </cell>
        </row>
        <row r="2615">
          <cell r="M2615" t="str">
            <v>课程</v>
          </cell>
        </row>
        <row r="2615">
          <cell r="S2615">
            <v>77.4</v>
          </cell>
        </row>
        <row r="2616">
          <cell r="M2616" t="str">
            <v>网诉</v>
          </cell>
        </row>
        <row r="2616">
          <cell r="S2616">
            <v>100</v>
          </cell>
        </row>
        <row r="2617">
          <cell r="M2617" t="str">
            <v>小资</v>
          </cell>
        </row>
        <row r="2617">
          <cell r="R2617" t="str">
            <v>城内</v>
          </cell>
          <cell r="S2617">
            <v>35.1</v>
          </cell>
        </row>
        <row r="2618">
          <cell r="M2618" t="str">
            <v>读书</v>
          </cell>
        </row>
        <row r="2618">
          <cell r="S2618">
            <v>106.9</v>
          </cell>
        </row>
        <row r="2619">
          <cell r="M2619" t="str">
            <v>话费</v>
          </cell>
        </row>
        <row r="2619">
          <cell r="S2619">
            <v>30</v>
          </cell>
        </row>
        <row r="2620">
          <cell r="M2620" t="str">
            <v>养育</v>
          </cell>
        </row>
        <row r="2620">
          <cell r="S2620">
            <v>398</v>
          </cell>
        </row>
        <row r="2621">
          <cell r="M2621" t="str">
            <v>日用</v>
          </cell>
        </row>
        <row r="2621">
          <cell r="S2621">
            <v>35</v>
          </cell>
        </row>
        <row r="2622">
          <cell r="M2622" t="str">
            <v>社交</v>
          </cell>
        </row>
        <row r="2622">
          <cell r="S2622">
            <v>7</v>
          </cell>
        </row>
        <row r="2623">
          <cell r="M2623" t="str">
            <v>社交</v>
          </cell>
        </row>
        <row r="2623">
          <cell r="S2623">
            <v>22</v>
          </cell>
        </row>
        <row r="2624">
          <cell r="M2624" t="str">
            <v>工资</v>
          </cell>
        </row>
        <row r="2624">
          <cell r="S2624">
            <v>-22000</v>
          </cell>
        </row>
        <row r="2625">
          <cell r="M2625" t="str">
            <v>出行</v>
          </cell>
        </row>
        <row r="2625">
          <cell r="S2625">
            <v>3</v>
          </cell>
        </row>
        <row r="2626">
          <cell r="M2626" t="str">
            <v>早餐</v>
          </cell>
        </row>
        <row r="2626">
          <cell r="S2626">
            <v>9</v>
          </cell>
        </row>
        <row r="2627">
          <cell r="M2627" t="str">
            <v>小资</v>
          </cell>
        </row>
        <row r="2627">
          <cell r="R2627" t="str">
            <v>吃喝</v>
          </cell>
          <cell r="S2627">
            <v>15</v>
          </cell>
        </row>
        <row r="2628">
          <cell r="M2628" t="str">
            <v>小资</v>
          </cell>
        </row>
        <row r="2628">
          <cell r="R2628" t="str">
            <v>吃喝</v>
          </cell>
          <cell r="S2628">
            <v>15</v>
          </cell>
        </row>
        <row r="2629">
          <cell r="M2629" t="str">
            <v>早餐</v>
          </cell>
        </row>
        <row r="2629">
          <cell r="S2629">
            <v>12</v>
          </cell>
        </row>
        <row r="2630">
          <cell r="M2630" t="str">
            <v>日用</v>
          </cell>
        </row>
        <row r="2630">
          <cell r="S2630">
            <v>2</v>
          </cell>
        </row>
        <row r="2631">
          <cell r="M2631" t="str">
            <v>小资</v>
          </cell>
        </row>
        <row r="2631">
          <cell r="R2631" t="str">
            <v>城内</v>
          </cell>
          <cell r="S2631">
            <v>16.1</v>
          </cell>
        </row>
        <row r="2632">
          <cell r="M2632" t="str">
            <v>早餐</v>
          </cell>
        </row>
        <row r="2632">
          <cell r="S2632">
            <v>12</v>
          </cell>
        </row>
        <row r="2633">
          <cell r="M2633" t="str">
            <v>出行</v>
          </cell>
        </row>
        <row r="2633">
          <cell r="S2633">
            <v>3</v>
          </cell>
        </row>
        <row r="2634">
          <cell r="M2634" t="str">
            <v>日用</v>
          </cell>
        </row>
        <row r="2634">
          <cell r="S2634">
            <v>200</v>
          </cell>
        </row>
        <row r="2635">
          <cell r="M2635" t="str">
            <v>出行</v>
          </cell>
        </row>
        <row r="2635">
          <cell r="S2635">
            <v>5.8</v>
          </cell>
        </row>
        <row r="2636">
          <cell r="M2636" t="str">
            <v>日用</v>
          </cell>
        </row>
        <row r="2636">
          <cell r="S2636">
            <v>34.2</v>
          </cell>
        </row>
        <row r="2637">
          <cell r="M2637" t="str">
            <v>小资</v>
          </cell>
        </row>
        <row r="2637">
          <cell r="R2637" t="str">
            <v>吃喝</v>
          </cell>
          <cell r="S2637">
            <v>15</v>
          </cell>
        </row>
        <row r="2638">
          <cell r="M2638" t="str">
            <v>会员</v>
          </cell>
        </row>
        <row r="2638">
          <cell r="S2638">
            <v>6</v>
          </cell>
        </row>
        <row r="2639">
          <cell r="M2639" t="str">
            <v>社交</v>
          </cell>
        </row>
        <row r="2639">
          <cell r="S2639">
            <v>96</v>
          </cell>
        </row>
        <row r="2640">
          <cell r="M2640" t="str">
            <v>小资</v>
          </cell>
        </row>
        <row r="2640">
          <cell r="R2640" t="str">
            <v>城内</v>
          </cell>
          <cell r="S2640">
            <v>8.1</v>
          </cell>
        </row>
        <row r="2641">
          <cell r="M2641" t="str">
            <v>出行</v>
          </cell>
        </row>
        <row r="2641">
          <cell r="S2641">
            <v>189.5</v>
          </cell>
        </row>
        <row r="2642">
          <cell r="M2642" t="str">
            <v>出行</v>
          </cell>
        </row>
        <row r="2642">
          <cell r="S2642">
            <v>67</v>
          </cell>
        </row>
        <row r="2643">
          <cell r="M2643" t="str">
            <v>出行</v>
          </cell>
        </row>
        <row r="2643">
          <cell r="S2643">
            <v>189.5</v>
          </cell>
        </row>
        <row r="2644">
          <cell r="M2644" t="str">
            <v>话费</v>
          </cell>
        </row>
        <row r="2644">
          <cell r="S2644">
            <v>39</v>
          </cell>
        </row>
        <row r="2645">
          <cell r="M2645" t="str">
            <v>早餐</v>
          </cell>
        </row>
        <row r="2645">
          <cell r="S2645">
            <v>4</v>
          </cell>
        </row>
        <row r="2646">
          <cell r="M2646" t="str">
            <v>话费</v>
          </cell>
        </row>
        <row r="2646">
          <cell r="S2646">
            <v>100</v>
          </cell>
        </row>
        <row r="2647">
          <cell r="M2647" t="str">
            <v>话费</v>
          </cell>
        </row>
        <row r="2647">
          <cell r="S2647">
            <v>50</v>
          </cell>
        </row>
        <row r="2648">
          <cell r="M2648" t="str">
            <v>日用</v>
          </cell>
        </row>
        <row r="2648">
          <cell r="S2648">
            <v>69.5</v>
          </cell>
        </row>
        <row r="2649">
          <cell r="M2649" t="str">
            <v>出行</v>
          </cell>
        </row>
        <row r="2649">
          <cell r="S2649">
            <v>-189.5</v>
          </cell>
        </row>
        <row r="2650">
          <cell r="M2650" t="str">
            <v>养育</v>
          </cell>
        </row>
        <row r="2650">
          <cell r="S2650">
            <v>-398</v>
          </cell>
        </row>
        <row r="2651">
          <cell r="M2651" t="str">
            <v>社交</v>
          </cell>
        </row>
        <row r="2651">
          <cell r="S2651">
            <v>80</v>
          </cell>
        </row>
        <row r="2652">
          <cell r="M2652" t="str">
            <v>话费</v>
          </cell>
        </row>
        <row r="2652">
          <cell r="S2652">
            <v>-40</v>
          </cell>
        </row>
        <row r="2653">
          <cell r="M2653" t="str">
            <v>话费</v>
          </cell>
        </row>
        <row r="2653">
          <cell r="S2653">
            <v>50</v>
          </cell>
        </row>
        <row r="2654">
          <cell r="M2654" t="str">
            <v>话费</v>
          </cell>
        </row>
        <row r="2654">
          <cell r="S2654">
            <v>50</v>
          </cell>
        </row>
        <row r="2655">
          <cell r="M2655" t="str">
            <v>社交</v>
          </cell>
        </row>
        <row r="2655">
          <cell r="S2655">
            <v>12</v>
          </cell>
        </row>
        <row r="2656">
          <cell r="M2656" t="str">
            <v>出行</v>
          </cell>
        </row>
        <row r="2656">
          <cell r="S2656">
            <v>3</v>
          </cell>
        </row>
        <row r="2657">
          <cell r="M2657" t="str">
            <v>早餐</v>
          </cell>
        </row>
        <row r="2657">
          <cell r="S2657">
            <v>12</v>
          </cell>
        </row>
        <row r="2658">
          <cell r="M2658" t="str">
            <v>日用</v>
          </cell>
        </row>
        <row r="2658">
          <cell r="S2658">
            <v>6.5</v>
          </cell>
        </row>
        <row r="2659">
          <cell r="M2659" t="str">
            <v>日用</v>
          </cell>
        </row>
        <row r="2659">
          <cell r="S2659">
            <v>3</v>
          </cell>
        </row>
        <row r="2660">
          <cell r="M2660" t="str">
            <v>日用</v>
          </cell>
        </row>
        <row r="2660">
          <cell r="S2660">
            <v>2</v>
          </cell>
        </row>
        <row r="2661">
          <cell r="M2661" t="str">
            <v>日用</v>
          </cell>
        </row>
        <row r="2661">
          <cell r="S2661">
            <v>30</v>
          </cell>
        </row>
        <row r="2662">
          <cell r="M2662" t="str">
            <v>早餐</v>
          </cell>
        </row>
        <row r="2662">
          <cell r="S2662">
            <v>10</v>
          </cell>
        </row>
        <row r="2663">
          <cell r="M2663" t="str">
            <v>网诉</v>
          </cell>
        </row>
        <row r="2663">
          <cell r="S2663">
            <v>23</v>
          </cell>
        </row>
        <row r="2664">
          <cell r="M2664" t="str">
            <v>出行</v>
          </cell>
        </row>
        <row r="2664">
          <cell r="S2664">
            <v>20.39</v>
          </cell>
        </row>
        <row r="2665">
          <cell r="M2665" t="str">
            <v>日用</v>
          </cell>
        </row>
        <row r="2665">
          <cell r="S2665">
            <v>137.8</v>
          </cell>
        </row>
        <row r="2666">
          <cell r="M2666" t="str">
            <v>保山</v>
          </cell>
        </row>
        <row r="2666">
          <cell r="S2666">
            <v>555.11</v>
          </cell>
        </row>
        <row r="2667">
          <cell r="M2667" t="str">
            <v>日用</v>
          </cell>
        </row>
        <row r="2667">
          <cell r="S2667">
            <v>46</v>
          </cell>
        </row>
        <row r="2668">
          <cell r="M2668" t="str">
            <v>会员</v>
          </cell>
        </row>
        <row r="2668">
          <cell r="S2668">
            <v>15</v>
          </cell>
        </row>
        <row r="2669">
          <cell r="M2669" t="str">
            <v>出行</v>
          </cell>
        </row>
        <row r="2669">
          <cell r="S2669">
            <v>19.9</v>
          </cell>
        </row>
        <row r="2670">
          <cell r="M2670" t="str">
            <v>早餐</v>
          </cell>
        </row>
        <row r="2670">
          <cell r="S2670">
            <v>15</v>
          </cell>
        </row>
        <row r="2671">
          <cell r="M2671" t="str">
            <v>日用</v>
          </cell>
        </row>
        <row r="2671">
          <cell r="S2671">
            <v>5</v>
          </cell>
        </row>
        <row r="2672">
          <cell r="M2672" t="str">
            <v>出行</v>
          </cell>
        </row>
        <row r="2672">
          <cell r="S2672">
            <v>38.8</v>
          </cell>
        </row>
        <row r="2673">
          <cell r="M2673" t="str">
            <v>工资</v>
          </cell>
        </row>
        <row r="2673">
          <cell r="S2673">
            <v>-22000</v>
          </cell>
        </row>
        <row r="2674">
          <cell r="M2674" t="str">
            <v>保山</v>
          </cell>
        </row>
        <row r="2674">
          <cell r="S2674">
            <v>60</v>
          </cell>
        </row>
        <row r="2675">
          <cell r="M2675" t="str">
            <v>保山</v>
          </cell>
        </row>
        <row r="2675">
          <cell r="S2675">
            <v>46.8</v>
          </cell>
        </row>
        <row r="2676">
          <cell r="M2676" t="str">
            <v>保山</v>
          </cell>
        </row>
        <row r="2676">
          <cell r="S2676">
            <v>17</v>
          </cell>
        </row>
        <row r="2677">
          <cell r="M2677" t="str">
            <v>保山</v>
          </cell>
        </row>
        <row r="2677">
          <cell r="S2677">
            <v>34</v>
          </cell>
        </row>
        <row r="2678">
          <cell r="M2678" t="str">
            <v>保山</v>
          </cell>
        </row>
        <row r="2678">
          <cell r="S2678">
            <v>2</v>
          </cell>
        </row>
        <row r="2679">
          <cell r="M2679" t="str">
            <v>保山</v>
          </cell>
        </row>
        <row r="2679">
          <cell r="S2679">
            <v>15</v>
          </cell>
        </row>
        <row r="2680">
          <cell r="M2680" t="str">
            <v>保山</v>
          </cell>
        </row>
        <row r="2680">
          <cell r="S2680">
            <v>25</v>
          </cell>
        </row>
        <row r="2681">
          <cell r="M2681" t="str">
            <v>保山</v>
          </cell>
        </row>
        <row r="2681">
          <cell r="S2681">
            <v>62.17</v>
          </cell>
        </row>
        <row r="2682">
          <cell r="M2682" t="str">
            <v>保山</v>
          </cell>
        </row>
        <row r="2682">
          <cell r="S2682">
            <v>30.4</v>
          </cell>
        </row>
        <row r="2683">
          <cell r="M2683" t="str">
            <v>保山</v>
          </cell>
        </row>
        <row r="2683">
          <cell r="S2683">
            <v>8</v>
          </cell>
        </row>
        <row r="2684">
          <cell r="M2684" t="str">
            <v>保山</v>
          </cell>
        </row>
        <row r="2684">
          <cell r="S2684">
            <v>8</v>
          </cell>
        </row>
        <row r="2685">
          <cell r="M2685" t="str">
            <v>保山</v>
          </cell>
        </row>
        <row r="2685">
          <cell r="S2685">
            <v>13.4</v>
          </cell>
        </row>
        <row r="2686">
          <cell r="M2686" t="str">
            <v>孝敬</v>
          </cell>
        </row>
        <row r="2686">
          <cell r="S2686">
            <v>10000</v>
          </cell>
        </row>
        <row r="2687">
          <cell r="M2687" t="str">
            <v>出行</v>
          </cell>
        </row>
        <row r="2687">
          <cell r="S2687">
            <v>21.5</v>
          </cell>
        </row>
        <row r="2688">
          <cell r="M2688" t="str">
            <v>出行</v>
          </cell>
        </row>
        <row r="2688">
          <cell r="S2688">
            <v>189.5</v>
          </cell>
        </row>
        <row r="2689">
          <cell r="M2689" t="str">
            <v>会员</v>
          </cell>
        </row>
        <row r="2689">
          <cell r="S2689">
            <v>8</v>
          </cell>
        </row>
        <row r="2690">
          <cell r="M2690" t="str">
            <v>保山</v>
          </cell>
        </row>
        <row r="2690">
          <cell r="S2690">
            <v>55</v>
          </cell>
        </row>
        <row r="2691">
          <cell r="M2691" t="str">
            <v>保山</v>
          </cell>
        </row>
        <row r="2691">
          <cell r="S2691">
            <v>16</v>
          </cell>
        </row>
        <row r="2692">
          <cell r="M2692" t="str">
            <v>保山</v>
          </cell>
        </row>
        <row r="2692">
          <cell r="S2692">
            <v>10</v>
          </cell>
        </row>
        <row r="2693">
          <cell r="M2693" t="str">
            <v>保山</v>
          </cell>
        </row>
        <row r="2693">
          <cell r="S2693">
            <v>40</v>
          </cell>
        </row>
        <row r="2694">
          <cell r="M2694" t="str">
            <v>保山</v>
          </cell>
        </row>
        <row r="2694">
          <cell r="S2694">
            <v>16.8</v>
          </cell>
        </row>
        <row r="2695">
          <cell r="M2695" t="str">
            <v>保山</v>
          </cell>
        </row>
        <row r="2695">
          <cell r="S2695">
            <v>200</v>
          </cell>
        </row>
        <row r="2696">
          <cell r="M2696" t="str">
            <v>保山</v>
          </cell>
        </row>
        <row r="2696">
          <cell r="S2696">
            <v>200</v>
          </cell>
        </row>
        <row r="2697">
          <cell r="M2697" t="str">
            <v>保山</v>
          </cell>
        </row>
        <row r="2697">
          <cell r="S2697">
            <v>-130</v>
          </cell>
        </row>
        <row r="2698">
          <cell r="M2698" t="str">
            <v>孝敬</v>
          </cell>
        </row>
        <row r="2698">
          <cell r="S2698">
            <v>-800</v>
          </cell>
        </row>
        <row r="2699">
          <cell r="M2699" t="str">
            <v>风险金</v>
          </cell>
        </row>
        <row r="2699">
          <cell r="S2699">
            <v>930</v>
          </cell>
        </row>
        <row r="2700">
          <cell r="M2700" t="str">
            <v>保山</v>
          </cell>
        </row>
        <row r="2700">
          <cell r="S2700">
            <v>12</v>
          </cell>
        </row>
        <row r="2701">
          <cell r="M2701" t="str">
            <v>保山</v>
          </cell>
        </row>
        <row r="2701">
          <cell r="S2701">
            <v>17.3</v>
          </cell>
        </row>
        <row r="2702">
          <cell r="M2702" t="str">
            <v>保山</v>
          </cell>
        </row>
        <row r="2702">
          <cell r="S2702">
            <v>36.95</v>
          </cell>
        </row>
        <row r="2703">
          <cell r="M2703" t="str">
            <v>保山</v>
          </cell>
        </row>
        <row r="2703">
          <cell r="S2703">
            <v>89</v>
          </cell>
        </row>
        <row r="2704">
          <cell r="M2704" t="str">
            <v>保山</v>
          </cell>
        </row>
        <row r="2704">
          <cell r="S2704">
            <v>16.9</v>
          </cell>
        </row>
        <row r="2705">
          <cell r="M2705" t="str">
            <v>出行</v>
          </cell>
        </row>
        <row r="2705">
          <cell r="S2705">
            <v>28</v>
          </cell>
        </row>
        <row r="2706">
          <cell r="M2706" t="str">
            <v>日用</v>
          </cell>
        </row>
        <row r="2706">
          <cell r="S2706">
            <v>2</v>
          </cell>
        </row>
        <row r="2707">
          <cell r="M2707" t="str">
            <v>出行</v>
          </cell>
        </row>
        <row r="2707">
          <cell r="S2707">
            <v>3</v>
          </cell>
        </row>
        <row r="2708">
          <cell r="M2708" t="str">
            <v>日用</v>
          </cell>
        </row>
        <row r="2708">
          <cell r="S2708">
            <v>9.26</v>
          </cell>
        </row>
        <row r="2709">
          <cell r="M2709" t="str">
            <v>早餐</v>
          </cell>
        </row>
        <row r="2709">
          <cell r="S2709">
            <v>20</v>
          </cell>
        </row>
        <row r="2710">
          <cell r="M2710" t="str">
            <v>出行</v>
          </cell>
        </row>
        <row r="2710">
          <cell r="S2710">
            <v>36.1</v>
          </cell>
        </row>
        <row r="2711">
          <cell r="M2711" t="str">
            <v>保山</v>
          </cell>
        </row>
        <row r="2711">
          <cell r="S2711">
            <v>99</v>
          </cell>
        </row>
        <row r="2712">
          <cell r="M2712" t="str">
            <v>日用</v>
          </cell>
        </row>
        <row r="2712">
          <cell r="S2712">
            <v>32.49</v>
          </cell>
        </row>
        <row r="2713">
          <cell r="M2713" t="str">
            <v>日用</v>
          </cell>
        </row>
        <row r="2713">
          <cell r="S2713">
            <v>9.3</v>
          </cell>
        </row>
        <row r="2714">
          <cell r="M2714" t="str">
            <v>日用</v>
          </cell>
        </row>
        <row r="2714">
          <cell r="S2714">
            <v>262</v>
          </cell>
        </row>
        <row r="2715">
          <cell r="M2715" t="str">
            <v>日用</v>
          </cell>
        </row>
        <row r="2715">
          <cell r="S2715">
            <v>392</v>
          </cell>
        </row>
        <row r="2716">
          <cell r="M2716" t="str">
            <v>早餐</v>
          </cell>
        </row>
        <row r="2716">
          <cell r="S2716">
            <v>20</v>
          </cell>
        </row>
        <row r="2717">
          <cell r="M2717" t="str">
            <v>早餐</v>
          </cell>
        </row>
        <row r="2717">
          <cell r="S2717">
            <v>6</v>
          </cell>
        </row>
        <row r="2718">
          <cell r="M2718" t="str">
            <v>风险金</v>
          </cell>
        </row>
        <row r="2718">
          <cell r="S2718">
            <v>5000</v>
          </cell>
        </row>
        <row r="2719">
          <cell r="M2719" t="str">
            <v>日用</v>
          </cell>
        </row>
        <row r="2719">
          <cell r="S2719">
            <v>6.6</v>
          </cell>
        </row>
        <row r="2720">
          <cell r="M2720" t="str">
            <v>风险金</v>
          </cell>
        </row>
        <row r="2720">
          <cell r="S2720">
            <v>-5000</v>
          </cell>
        </row>
        <row r="2721">
          <cell r="M2721" t="str">
            <v>早餐</v>
          </cell>
        </row>
        <row r="2721">
          <cell r="S2721">
            <v>18</v>
          </cell>
        </row>
        <row r="2722">
          <cell r="M2722" t="str">
            <v>保山</v>
          </cell>
        </row>
        <row r="2722">
          <cell r="S2722">
            <v>99</v>
          </cell>
        </row>
        <row r="2723">
          <cell r="M2723" t="str">
            <v>出行</v>
          </cell>
        </row>
        <row r="2723">
          <cell r="S2723">
            <v>24</v>
          </cell>
        </row>
        <row r="2724">
          <cell r="M2724" t="str">
            <v>房租</v>
          </cell>
        </row>
        <row r="2724">
          <cell r="S2724">
            <v>300</v>
          </cell>
        </row>
        <row r="2725">
          <cell r="M2725" t="str">
            <v>话费</v>
          </cell>
        </row>
        <row r="2725">
          <cell r="S2725">
            <v>100</v>
          </cell>
        </row>
        <row r="2726">
          <cell r="M2726" t="str">
            <v>出行</v>
          </cell>
        </row>
        <row r="2726">
          <cell r="S2726">
            <v>3</v>
          </cell>
        </row>
        <row r="2727">
          <cell r="M2727" t="str">
            <v>日用</v>
          </cell>
        </row>
        <row r="2727">
          <cell r="S2727">
            <v>0.9</v>
          </cell>
        </row>
        <row r="2728">
          <cell r="M2728" t="str">
            <v>风险金</v>
          </cell>
        </row>
        <row r="2728">
          <cell r="S2728">
            <v>30000</v>
          </cell>
        </row>
        <row r="2729">
          <cell r="M2729" t="str">
            <v>日用</v>
          </cell>
        </row>
        <row r="2729">
          <cell r="S2729">
            <v>30</v>
          </cell>
        </row>
        <row r="2730">
          <cell r="M2730" t="str">
            <v>早餐</v>
          </cell>
        </row>
        <row r="2730">
          <cell r="S2730">
            <v>12</v>
          </cell>
        </row>
        <row r="2731">
          <cell r="M2731" t="str">
            <v>小资</v>
          </cell>
        </row>
        <row r="2731">
          <cell r="R2731" t="str">
            <v>吃喝</v>
          </cell>
          <cell r="S2731">
            <v>15</v>
          </cell>
        </row>
        <row r="2732">
          <cell r="M2732" t="str">
            <v>日用</v>
          </cell>
        </row>
        <row r="2732">
          <cell r="S2732">
            <v>22.54</v>
          </cell>
        </row>
        <row r="2733">
          <cell r="M2733" t="str">
            <v>会员</v>
          </cell>
        </row>
        <row r="2733">
          <cell r="S2733">
            <v>6</v>
          </cell>
        </row>
        <row r="2734">
          <cell r="M2734" t="str">
            <v>日用</v>
          </cell>
        </row>
        <row r="2734">
          <cell r="S2734">
            <v>9</v>
          </cell>
        </row>
        <row r="2735">
          <cell r="M2735" t="str">
            <v>早餐</v>
          </cell>
        </row>
        <row r="2735">
          <cell r="S2735">
            <v>6</v>
          </cell>
        </row>
        <row r="2736">
          <cell r="M2736" t="str">
            <v>早餐</v>
          </cell>
        </row>
        <row r="2736">
          <cell r="S2736">
            <v>13</v>
          </cell>
        </row>
        <row r="2737">
          <cell r="M2737" t="str">
            <v>日用</v>
          </cell>
        </row>
        <row r="2737">
          <cell r="S2737">
            <v>24.6</v>
          </cell>
        </row>
        <row r="2738">
          <cell r="M2738" t="str">
            <v>小资</v>
          </cell>
        </row>
        <row r="2738">
          <cell r="R2738" t="str">
            <v>电影</v>
          </cell>
          <cell r="S2738">
            <v>50</v>
          </cell>
        </row>
        <row r="2739">
          <cell r="M2739" t="str">
            <v>日用</v>
          </cell>
        </row>
        <row r="2739">
          <cell r="S2739">
            <v>20.52</v>
          </cell>
        </row>
        <row r="2740">
          <cell r="M2740" t="str">
            <v>保山</v>
          </cell>
        </row>
        <row r="2740">
          <cell r="S2740">
            <v>-99</v>
          </cell>
        </row>
        <row r="2741">
          <cell r="M2741" t="str">
            <v>社交</v>
          </cell>
        </row>
        <row r="2741">
          <cell r="S2741">
            <v>36</v>
          </cell>
        </row>
        <row r="2742">
          <cell r="M2742" t="str">
            <v>话费</v>
          </cell>
        </row>
        <row r="2742">
          <cell r="S2742">
            <v>39</v>
          </cell>
        </row>
        <row r="2743">
          <cell r="M2743" t="str">
            <v>话费</v>
          </cell>
        </row>
        <row r="2743">
          <cell r="S2743">
            <v>50</v>
          </cell>
        </row>
        <row r="2744">
          <cell r="M2744" t="str">
            <v>话费</v>
          </cell>
        </row>
        <row r="2744">
          <cell r="S2744">
            <v>-40</v>
          </cell>
        </row>
        <row r="2745">
          <cell r="M2745" t="str">
            <v>话费</v>
          </cell>
        </row>
        <row r="2745">
          <cell r="S2745">
            <v>100</v>
          </cell>
        </row>
        <row r="2746">
          <cell r="M2746" t="str">
            <v>出行</v>
          </cell>
        </row>
        <row r="2746">
          <cell r="S2746">
            <v>26.3</v>
          </cell>
        </row>
        <row r="2747">
          <cell r="M2747" t="str">
            <v>小资</v>
          </cell>
        </row>
        <row r="2747">
          <cell r="R2747" t="str">
            <v>吃喝</v>
          </cell>
          <cell r="S2747">
            <v>14.3</v>
          </cell>
        </row>
        <row r="2748">
          <cell r="M2748" t="str">
            <v>小资</v>
          </cell>
        </row>
        <row r="2748">
          <cell r="R2748" t="str">
            <v>吃喝</v>
          </cell>
          <cell r="S2748">
            <v>10</v>
          </cell>
        </row>
        <row r="2749">
          <cell r="M2749" t="str">
            <v>小资</v>
          </cell>
        </row>
        <row r="2749">
          <cell r="R2749" t="str">
            <v>吃喝</v>
          </cell>
          <cell r="S2749">
            <v>9</v>
          </cell>
        </row>
        <row r="2750">
          <cell r="M2750" t="str">
            <v>小资</v>
          </cell>
        </row>
        <row r="2750">
          <cell r="R2750" t="str">
            <v>吃喝</v>
          </cell>
          <cell r="S2750">
            <v>6</v>
          </cell>
        </row>
        <row r="2751">
          <cell r="M2751" t="str">
            <v>日用</v>
          </cell>
        </row>
        <row r="2751">
          <cell r="S2751">
            <v>27.3</v>
          </cell>
        </row>
        <row r="2752">
          <cell r="M2752" t="str">
            <v>小资</v>
          </cell>
        </row>
        <row r="2752">
          <cell r="R2752" t="str">
            <v>城内</v>
          </cell>
          <cell r="S2752">
            <v>17.09</v>
          </cell>
        </row>
        <row r="2753">
          <cell r="M2753" t="str">
            <v>小资</v>
          </cell>
        </row>
        <row r="2753">
          <cell r="R2753" t="str">
            <v>城内</v>
          </cell>
          <cell r="S2753">
            <v>19.7</v>
          </cell>
        </row>
        <row r="2754">
          <cell r="M2754" t="str">
            <v>小资</v>
          </cell>
        </row>
        <row r="2754">
          <cell r="R2754" t="str">
            <v>女人</v>
          </cell>
          <cell r="S2754">
            <v>66</v>
          </cell>
        </row>
        <row r="2755">
          <cell r="M2755" t="str">
            <v>日用</v>
          </cell>
        </row>
        <row r="2755">
          <cell r="S2755">
            <v>33.9</v>
          </cell>
        </row>
        <row r="2756">
          <cell r="M2756" t="str">
            <v>小资</v>
          </cell>
        </row>
        <row r="2756">
          <cell r="R2756" t="str">
            <v>吃喝</v>
          </cell>
          <cell r="S2756">
            <v>100</v>
          </cell>
        </row>
        <row r="2757">
          <cell r="M2757" t="str">
            <v>早餐</v>
          </cell>
        </row>
        <row r="2757">
          <cell r="S2757">
            <v>20</v>
          </cell>
        </row>
        <row r="2758">
          <cell r="M2758" t="str">
            <v>日用</v>
          </cell>
        </row>
        <row r="2758">
          <cell r="S2758">
            <v>30.5</v>
          </cell>
        </row>
        <row r="2759">
          <cell r="M2759" t="str">
            <v>小资</v>
          </cell>
        </row>
        <row r="2759">
          <cell r="R2759" t="str">
            <v>住宿</v>
          </cell>
          <cell r="S2759">
            <v>80</v>
          </cell>
        </row>
        <row r="2760">
          <cell r="M2760" t="str">
            <v>日用</v>
          </cell>
        </row>
        <row r="2760">
          <cell r="S2760">
            <v>101</v>
          </cell>
        </row>
        <row r="2761">
          <cell r="M2761" t="str">
            <v>小资</v>
          </cell>
        </row>
        <row r="2761">
          <cell r="R2761" t="str">
            <v>城内</v>
          </cell>
          <cell r="S2761">
            <v>5.8</v>
          </cell>
        </row>
        <row r="2762">
          <cell r="M2762" t="str">
            <v>小资</v>
          </cell>
        </row>
        <row r="2762">
          <cell r="R2762" t="str">
            <v>女人</v>
          </cell>
          <cell r="S2762">
            <v>550</v>
          </cell>
        </row>
        <row r="2763">
          <cell r="M2763" t="str">
            <v>小资</v>
          </cell>
        </row>
        <row r="2763">
          <cell r="R2763" t="str">
            <v>女人</v>
          </cell>
          <cell r="S2763">
            <v>600</v>
          </cell>
        </row>
        <row r="2764">
          <cell r="M2764" t="str">
            <v>小资</v>
          </cell>
        </row>
        <row r="2764">
          <cell r="R2764" t="str">
            <v>城内</v>
          </cell>
          <cell r="S2764">
            <v>8.4</v>
          </cell>
        </row>
        <row r="2765">
          <cell r="M2765" t="str">
            <v>日用</v>
          </cell>
        </row>
        <row r="2765">
          <cell r="S2765">
            <v>10</v>
          </cell>
        </row>
        <row r="2766">
          <cell r="M2766" t="str">
            <v>早餐</v>
          </cell>
        </row>
        <row r="2766">
          <cell r="S2766">
            <v>15</v>
          </cell>
        </row>
        <row r="2767">
          <cell r="M2767" t="str">
            <v>日用</v>
          </cell>
        </row>
        <row r="2767">
          <cell r="S2767">
            <v>69.97</v>
          </cell>
        </row>
        <row r="2768">
          <cell r="M2768" t="str">
            <v>出行</v>
          </cell>
        </row>
        <row r="2768">
          <cell r="S2768">
            <v>3</v>
          </cell>
        </row>
        <row r="2769">
          <cell r="M2769" t="str">
            <v>小资</v>
          </cell>
        </row>
        <row r="2769">
          <cell r="R2769" t="str">
            <v>女人</v>
          </cell>
          <cell r="S2769">
            <v>-50</v>
          </cell>
        </row>
        <row r="2770">
          <cell r="M2770" t="str">
            <v>社交</v>
          </cell>
        </row>
        <row r="2770">
          <cell r="S2770">
            <v>14</v>
          </cell>
        </row>
        <row r="2771">
          <cell r="M2771" t="str">
            <v>早餐</v>
          </cell>
        </row>
        <row r="2771">
          <cell r="S2771">
            <v>6</v>
          </cell>
        </row>
        <row r="2772">
          <cell r="M2772" t="str">
            <v>社交</v>
          </cell>
        </row>
        <row r="2772">
          <cell r="S2772">
            <v>18</v>
          </cell>
        </row>
        <row r="2773">
          <cell r="M2773" t="str">
            <v>保山</v>
          </cell>
        </row>
        <row r="2773">
          <cell r="S2773">
            <v>38.8</v>
          </cell>
        </row>
        <row r="2774">
          <cell r="M2774" t="str">
            <v>工资</v>
          </cell>
        </row>
        <row r="2774">
          <cell r="S2774">
            <v>-22000</v>
          </cell>
        </row>
        <row r="2775">
          <cell r="M2775" t="str">
            <v>早餐</v>
          </cell>
        </row>
        <row r="2775">
          <cell r="S2775">
            <v>6</v>
          </cell>
        </row>
        <row r="2776">
          <cell r="M2776" t="str">
            <v>课程</v>
          </cell>
        </row>
        <row r="2776">
          <cell r="S2776">
            <v>36.8</v>
          </cell>
        </row>
        <row r="2777">
          <cell r="M2777" t="str">
            <v>课程</v>
          </cell>
        </row>
        <row r="2777">
          <cell r="S2777">
            <v>700</v>
          </cell>
        </row>
        <row r="2778">
          <cell r="M2778" t="str">
            <v>会员</v>
          </cell>
        </row>
        <row r="2778">
          <cell r="S2778">
            <v>15</v>
          </cell>
        </row>
        <row r="2779">
          <cell r="M2779" t="str">
            <v>养育</v>
          </cell>
        </row>
        <row r="2779">
          <cell r="S2779">
            <v>708</v>
          </cell>
        </row>
        <row r="2780">
          <cell r="M2780" t="str">
            <v>房租</v>
          </cell>
        </row>
        <row r="2780">
          <cell r="S2780">
            <v>150</v>
          </cell>
        </row>
        <row r="2781">
          <cell r="M2781" t="str">
            <v>日用</v>
          </cell>
        </row>
        <row r="2781">
          <cell r="S2781">
            <v>3</v>
          </cell>
        </row>
        <row r="2782">
          <cell r="M2782" t="str">
            <v>日用</v>
          </cell>
        </row>
        <row r="2782">
          <cell r="S2782">
            <v>52.8</v>
          </cell>
        </row>
        <row r="2783">
          <cell r="M2783" t="str">
            <v>会员</v>
          </cell>
        </row>
        <row r="2783">
          <cell r="S2783">
            <v>8</v>
          </cell>
        </row>
        <row r="2784">
          <cell r="M2784" t="str">
            <v>社交</v>
          </cell>
        </row>
        <row r="2784">
          <cell r="S2784">
            <v>30</v>
          </cell>
        </row>
        <row r="2785">
          <cell r="M2785" t="str">
            <v>日用</v>
          </cell>
        </row>
        <row r="2785">
          <cell r="S2785">
            <v>39.9</v>
          </cell>
        </row>
        <row r="2786">
          <cell r="M2786" t="str">
            <v>日用</v>
          </cell>
        </row>
        <row r="2786">
          <cell r="S2786">
            <v>8</v>
          </cell>
        </row>
        <row r="2787">
          <cell r="M2787" t="str">
            <v>早餐</v>
          </cell>
        </row>
        <row r="2787">
          <cell r="S2787">
            <v>56</v>
          </cell>
        </row>
        <row r="2788">
          <cell r="M2788" t="str">
            <v>日用</v>
          </cell>
        </row>
        <row r="2788">
          <cell r="S2788">
            <v>-5.33</v>
          </cell>
        </row>
        <row r="2789">
          <cell r="M2789" t="str">
            <v>早餐</v>
          </cell>
        </row>
        <row r="2789">
          <cell r="S2789">
            <v>12</v>
          </cell>
        </row>
        <row r="2790">
          <cell r="M2790" t="str">
            <v>日用</v>
          </cell>
        </row>
        <row r="2790">
          <cell r="S2790">
            <v>34.37</v>
          </cell>
        </row>
        <row r="2791">
          <cell r="M2791" t="str">
            <v>日用</v>
          </cell>
        </row>
        <row r="2791">
          <cell r="S2791">
            <v>41.3</v>
          </cell>
        </row>
        <row r="2792">
          <cell r="M2792" t="str">
            <v>出行</v>
          </cell>
        </row>
        <row r="2792">
          <cell r="S2792">
            <v>8.7</v>
          </cell>
        </row>
        <row r="2793">
          <cell r="M2793" t="str">
            <v>早餐</v>
          </cell>
        </row>
        <row r="2793">
          <cell r="S2793">
            <v>8</v>
          </cell>
        </row>
        <row r="2794">
          <cell r="M2794" t="str">
            <v>早餐</v>
          </cell>
        </row>
        <row r="2794">
          <cell r="S2794">
            <v>14</v>
          </cell>
        </row>
        <row r="2795">
          <cell r="M2795" t="str">
            <v>早餐</v>
          </cell>
        </row>
        <row r="2795">
          <cell r="S2795">
            <v>10</v>
          </cell>
        </row>
        <row r="2796">
          <cell r="M2796" t="str">
            <v>日用</v>
          </cell>
        </row>
        <row r="2796">
          <cell r="S2796">
            <v>5.91</v>
          </cell>
        </row>
        <row r="2797">
          <cell r="M2797" t="str">
            <v>社交</v>
          </cell>
        </row>
        <row r="2797">
          <cell r="S2797">
            <v>26</v>
          </cell>
        </row>
        <row r="2798">
          <cell r="M2798" t="str">
            <v>社交</v>
          </cell>
        </row>
        <row r="2798">
          <cell r="S2798">
            <v>9</v>
          </cell>
        </row>
        <row r="2799">
          <cell r="M2799" t="str">
            <v>医保</v>
          </cell>
        </row>
        <row r="2799">
          <cell r="S2799">
            <v>1256.76</v>
          </cell>
        </row>
        <row r="2800">
          <cell r="M2800" t="str">
            <v>社交</v>
          </cell>
        </row>
        <row r="2800">
          <cell r="S2800">
            <v>85</v>
          </cell>
        </row>
        <row r="2801">
          <cell r="M2801" t="str">
            <v>社交</v>
          </cell>
        </row>
        <row r="2801">
          <cell r="S2801">
            <v>94</v>
          </cell>
        </row>
        <row r="2802">
          <cell r="M2802" t="str">
            <v>日用</v>
          </cell>
        </row>
        <row r="2802">
          <cell r="S2802">
            <v>4.9</v>
          </cell>
        </row>
        <row r="2803">
          <cell r="M2803" t="str">
            <v>出行</v>
          </cell>
        </row>
        <row r="2803">
          <cell r="S2803">
            <v>12.5</v>
          </cell>
        </row>
        <row r="2804">
          <cell r="M2804" t="str">
            <v>出行</v>
          </cell>
        </row>
        <row r="2804">
          <cell r="S2804">
            <v>2</v>
          </cell>
        </row>
        <row r="2805">
          <cell r="M2805" t="str">
            <v>出行</v>
          </cell>
        </row>
        <row r="2805">
          <cell r="S2805">
            <v>-2</v>
          </cell>
        </row>
        <row r="2806">
          <cell r="M2806" t="str">
            <v>出行</v>
          </cell>
        </row>
        <row r="2806">
          <cell r="S2806">
            <v>19.5</v>
          </cell>
        </row>
        <row r="2807">
          <cell r="M2807" t="str">
            <v>日用</v>
          </cell>
        </row>
        <row r="2807">
          <cell r="S2807">
            <v>169</v>
          </cell>
        </row>
        <row r="2808">
          <cell r="M2808" t="str">
            <v>出行</v>
          </cell>
        </row>
        <row r="2808">
          <cell r="S2808">
            <v>3</v>
          </cell>
        </row>
        <row r="2809">
          <cell r="M2809" t="str">
            <v>早餐</v>
          </cell>
        </row>
        <row r="2809">
          <cell r="S2809">
            <v>12</v>
          </cell>
        </row>
        <row r="2810">
          <cell r="M2810" t="str">
            <v>小资</v>
          </cell>
        </row>
        <row r="2810">
          <cell r="R2810" t="str">
            <v>吃喝</v>
          </cell>
          <cell r="S2810">
            <v>28</v>
          </cell>
        </row>
        <row r="2811">
          <cell r="M2811" t="str">
            <v>小资</v>
          </cell>
        </row>
        <row r="2811">
          <cell r="R2811" t="str">
            <v>吃喝</v>
          </cell>
          <cell r="S2811">
            <v>6</v>
          </cell>
        </row>
        <row r="2812">
          <cell r="M2812" t="str">
            <v>早餐</v>
          </cell>
        </row>
        <row r="2812">
          <cell r="S2812">
            <v>14</v>
          </cell>
        </row>
        <row r="2813">
          <cell r="M2813" t="str">
            <v>出行</v>
          </cell>
        </row>
        <row r="2813">
          <cell r="S2813">
            <v>6.4</v>
          </cell>
        </row>
        <row r="2814">
          <cell r="M2814" t="str">
            <v>社交</v>
          </cell>
        </row>
        <row r="2814">
          <cell r="S2814">
            <v>38</v>
          </cell>
        </row>
        <row r="2815">
          <cell r="M2815" t="str">
            <v>日用</v>
          </cell>
        </row>
        <row r="2815">
          <cell r="S2815">
            <v>109</v>
          </cell>
        </row>
        <row r="2816">
          <cell r="M2816" t="str">
            <v>日用</v>
          </cell>
        </row>
        <row r="2816">
          <cell r="S2816">
            <v>10</v>
          </cell>
        </row>
        <row r="2817">
          <cell r="M2817" t="str">
            <v>社交</v>
          </cell>
        </row>
        <row r="2817">
          <cell r="S2817">
            <v>188</v>
          </cell>
        </row>
        <row r="2818">
          <cell r="M2818" t="str">
            <v>社交</v>
          </cell>
        </row>
        <row r="2818">
          <cell r="S2818">
            <v>61</v>
          </cell>
        </row>
        <row r="2819">
          <cell r="M2819" t="str">
            <v>出行</v>
          </cell>
        </row>
        <row r="2819">
          <cell r="S2819">
            <v>15.4</v>
          </cell>
        </row>
        <row r="2820">
          <cell r="M2820" t="str">
            <v>出行</v>
          </cell>
        </row>
        <row r="2820">
          <cell r="S2820">
            <v>3</v>
          </cell>
        </row>
        <row r="2821">
          <cell r="M2821" t="str">
            <v>日用</v>
          </cell>
        </row>
        <row r="2821">
          <cell r="S2821">
            <v>100</v>
          </cell>
        </row>
        <row r="2822">
          <cell r="M2822" t="str">
            <v>早餐</v>
          </cell>
        </row>
        <row r="2822">
          <cell r="S2822">
            <v>12</v>
          </cell>
        </row>
        <row r="2823">
          <cell r="M2823" t="str">
            <v>出行</v>
          </cell>
        </row>
        <row r="2823">
          <cell r="S2823">
            <v>5.8</v>
          </cell>
        </row>
        <row r="2824">
          <cell r="M2824" t="str">
            <v>日用</v>
          </cell>
        </row>
        <row r="2824">
          <cell r="S2824">
            <v>10</v>
          </cell>
        </row>
        <row r="2825">
          <cell r="M2825" t="str">
            <v>出行</v>
          </cell>
        </row>
        <row r="2825">
          <cell r="S2825">
            <v>3</v>
          </cell>
        </row>
        <row r="2826">
          <cell r="M2826" t="str">
            <v>早餐</v>
          </cell>
        </row>
        <row r="2826">
          <cell r="S2826">
            <v>10</v>
          </cell>
        </row>
        <row r="2827">
          <cell r="M2827" t="str">
            <v>日用</v>
          </cell>
        </row>
        <row r="2827">
          <cell r="S2827">
            <v>130</v>
          </cell>
        </row>
        <row r="2828">
          <cell r="M2828" t="str">
            <v>出行</v>
          </cell>
        </row>
        <row r="2828">
          <cell r="S2828">
            <v>17.8</v>
          </cell>
        </row>
        <row r="2829">
          <cell r="M2829" t="str">
            <v>出行</v>
          </cell>
        </row>
        <row r="2829">
          <cell r="S2829">
            <v>3</v>
          </cell>
        </row>
        <row r="2830">
          <cell r="M2830" t="str">
            <v>日用</v>
          </cell>
        </row>
        <row r="2830">
          <cell r="S2830">
            <v>-109</v>
          </cell>
        </row>
        <row r="2831">
          <cell r="M2831" t="str">
            <v>会员</v>
          </cell>
        </row>
        <row r="2831">
          <cell r="S2831">
            <v>6</v>
          </cell>
        </row>
        <row r="2832">
          <cell r="M2832" t="str">
            <v>话费</v>
          </cell>
        </row>
        <row r="2832">
          <cell r="S2832">
            <v>100</v>
          </cell>
        </row>
        <row r="2833">
          <cell r="M2833" t="str">
            <v>日用</v>
          </cell>
        </row>
        <row r="2833">
          <cell r="S2833">
            <v>-169</v>
          </cell>
        </row>
        <row r="2834">
          <cell r="M2834" t="str">
            <v>话费</v>
          </cell>
        </row>
        <row r="2834">
          <cell r="S2834">
            <v>50</v>
          </cell>
        </row>
        <row r="2835">
          <cell r="M2835" t="str">
            <v>日用</v>
          </cell>
        </row>
        <row r="2835">
          <cell r="S2835">
            <v>13</v>
          </cell>
        </row>
        <row r="2836">
          <cell r="M2836" t="str">
            <v>日用</v>
          </cell>
        </row>
        <row r="2836">
          <cell r="S2836">
            <v>79</v>
          </cell>
        </row>
        <row r="2837">
          <cell r="M2837" t="str">
            <v>日用</v>
          </cell>
        </row>
        <row r="2837">
          <cell r="S2837">
            <v>-79</v>
          </cell>
        </row>
        <row r="2838">
          <cell r="M2838" t="str">
            <v>早餐</v>
          </cell>
        </row>
        <row r="2838">
          <cell r="S2838">
            <v>6</v>
          </cell>
        </row>
        <row r="2839">
          <cell r="M2839" t="str">
            <v>课程</v>
          </cell>
        </row>
        <row r="2839">
          <cell r="S2839">
            <v>39</v>
          </cell>
        </row>
        <row r="2840">
          <cell r="M2840" t="str">
            <v>早餐</v>
          </cell>
        </row>
        <row r="2840">
          <cell r="S2840">
            <v>6</v>
          </cell>
        </row>
        <row r="2841">
          <cell r="M2841" t="str">
            <v>话费</v>
          </cell>
        </row>
        <row r="2841">
          <cell r="S2841">
            <v>-40</v>
          </cell>
        </row>
        <row r="2842">
          <cell r="M2842" t="str">
            <v>话费</v>
          </cell>
        </row>
        <row r="2842">
          <cell r="S2842">
            <v>100</v>
          </cell>
        </row>
        <row r="2843">
          <cell r="M2843" t="str">
            <v>早餐</v>
          </cell>
        </row>
        <row r="2843">
          <cell r="S2843">
            <v>12</v>
          </cell>
        </row>
        <row r="2844">
          <cell r="M2844" t="str">
            <v>社交</v>
          </cell>
        </row>
        <row r="2844">
          <cell r="S2844">
            <v>40</v>
          </cell>
        </row>
        <row r="2845">
          <cell r="M2845" t="str">
            <v>日用</v>
          </cell>
        </row>
        <row r="2845">
          <cell r="S2845">
            <v>69.9</v>
          </cell>
        </row>
        <row r="2846">
          <cell r="M2846" t="str">
            <v>早餐</v>
          </cell>
        </row>
        <row r="2846">
          <cell r="S2846">
            <v>6</v>
          </cell>
        </row>
        <row r="2847">
          <cell r="M2847" t="str">
            <v>日用</v>
          </cell>
        </row>
        <row r="2847">
          <cell r="S2847">
            <v>257.54</v>
          </cell>
        </row>
        <row r="2848">
          <cell r="M2848" t="str">
            <v>日用</v>
          </cell>
        </row>
        <row r="2848">
          <cell r="S2848">
            <v>8</v>
          </cell>
        </row>
        <row r="2849">
          <cell r="M2849" t="str">
            <v>早餐</v>
          </cell>
        </row>
        <row r="2849">
          <cell r="S2849">
            <v>7</v>
          </cell>
        </row>
        <row r="2850">
          <cell r="M2850" t="str">
            <v>早餐</v>
          </cell>
        </row>
        <row r="2850">
          <cell r="S2850">
            <v>10</v>
          </cell>
        </row>
        <row r="2851">
          <cell r="M2851" t="str">
            <v>日用</v>
          </cell>
        </row>
        <row r="2851">
          <cell r="S2851">
            <v>5</v>
          </cell>
        </row>
        <row r="2852">
          <cell r="M2852" t="str">
            <v>日用</v>
          </cell>
        </row>
        <row r="2852">
          <cell r="S2852">
            <v>9</v>
          </cell>
        </row>
        <row r="2853">
          <cell r="M2853" t="str">
            <v>日用</v>
          </cell>
        </row>
        <row r="2853">
          <cell r="S2853">
            <v>2</v>
          </cell>
        </row>
        <row r="2854">
          <cell r="M2854" t="str">
            <v>日用</v>
          </cell>
        </row>
        <row r="2854">
          <cell r="S2854">
            <v>28.88</v>
          </cell>
        </row>
        <row r="2855">
          <cell r="M2855" t="str">
            <v>日用</v>
          </cell>
        </row>
        <row r="2855">
          <cell r="S2855">
            <v>20.7</v>
          </cell>
        </row>
        <row r="2856">
          <cell r="M2856" t="str">
            <v>出行</v>
          </cell>
        </row>
        <row r="2856">
          <cell r="S2856">
            <v>3</v>
          </cell>
        </row>
        <row r="2857">
          <cell r="M2857" t="str">
            <v>会员</v>
          </cell>
        </row>
        <row r="2857">
          <cell r="S2857">
            <v>15</v>
          </cell>
        </row>
        <row r="2858">
          <cell r="M2858" t="str">
            <v>出行</v>
          </cell>
        </row>
        <row r="2858">
          <cell r="S2858">
            <v>3</v>
          </cell>
        </row>
        <row r="2859">
          <cell r="M2859" t="str">
            <v>早餐</v>
          </cell>
        </row>
        <row r="2859">
          <cell r="S2859">
            <v>11</v>
          </cell>
        </row>
        <row r="2860">
          <cell r="M2860" t="str">
            <v>出行</v>
          </cell>
        </row>
        <row r="2860">
          <cell r="S2860">
            <v>5.8</v>
          </cell>
        </row>
        <row r="2861">
          <cell r="M2861" t="str">
            <v>日用</v>
          </cell>
        </row>
        <row r="2861">
          <cell r="S2861">
            <v>3.9</v>
          </cell>
        </row>
        <row r="2862">
          <cell r="M2862" t="str">
            <v>出行</v>
          </cell>
        </row>
        <row r="2862">
          <cell r="S2862">
            <v>3</v>
          </cell>
        </row>
        <row r="2863">
          <cell r="M2863" t="str">
            <v>早餐</v>
          </cell>
        </row>
        <row r="2863">
          <cell r="S2863">
            <v>10</v>
          </cell>
        </row>
        <row r="2864">
          <cell r="M2864" t="str">
            <v>日用</v>
          </cell>
        </row>
        <row r="2864">
          <cell r="S2864">
            <v>1</v>
          </cell>
        </row>
        <row r="2865">
          <cell r="M2865" t="str">
            <v>早餐</v>
          </cell>
        </row>
        <row r="2865">
          <cell r="S2865">
            <v>20</v>
          </cell>
        </row>
        <row r="2866">
          <cell r="M2866" t="str">
            <v>早餐</v>
          </cell>
        </row>
        <row r="2866">
          <cell r="S2866">
            <v>8</v>
          </cell>
        </row>
        <row r="2867">
          <cell r="M2867" t="str">
            <v>早餐</v>
          </cell>
        </row>
        <row r="2867">
          <cell r="S2867">
            <v>10</v>
          </cell>
        </row>
        <row r="2868">
          <cell r="M2868" t="str">
            <v>早餐</v>
          </cell>
        </row>
        <row r="2868">
          <cell r="S2868">
            <v>30</v>
          </cell>
        </row>
        <row r="2869">
          <cell r="M2869" t="str">
            <v>工资</v>
          </cell>
        </row>
        <row r="2869">
          <cell r="S2869">
            <v>-20000</v>
          </cell>
        </row>
        <row r="2870">
          <cell r="M2870" t="str">
            <v>早餐</v>
          </cell>
        </row>
        <row r="2870">
          <cell r="S2870">
            <v>6</v>
          </cell>
        </row>
        <row r="2871">
          <cell r="M2871" t="str">
            <v>日用</v>
          </cell>
        </row>
        <row r="2871">
          <cell r="S2871">
            <v>19.8</v>
          </cell>
        </row>
        <row r="2872">
          <cell r="M2872" t="str">
            <v>日用</v>
          </cell>
        </row>
        <row r="2872">
          <cell r="S2872">
            <v>30</v>
          </cell>
        </row>
        <row r="2873">
          <cell r="M2873" t="str">
            <v>早餐</v>
          </cell>
        </row>
        <row r="2873">
          <cell r="S2873">
            <v>6</v>
          </cell>
        </row>
        <row r="2874">
          <cell r="M2874" t="str">
            <v>出行</v>
          </cell>
        </row>
        <row r="2874">
          <cell r="S2874">
            <v>5.8</v>
          </cell>
        </row>
        <row r="2875">
          <cell r="M2875" t="str">
            <v>早餐</v>
          </cell>
        </row>
        <row r="2875">
          <cell r="S2875">
            <v>55</v>
          </cell>
        </row>
        <row r="2876">
          <cell r="M2876" t="str">
            <v>出行</v>
          </cell>
        </row>
        <row r="2876">
          <cell r="S2876">
            <v>15.2</v>
          </cell>
        </row>
        <row r="2877">
          <cell r="M2877" t="str">
            <v>房租</v>
          </cell>
        </row>
        <row r="2877">
          <cell r="S2877">
            <v>-100</v>
          </cell>
        </row>
        <row r="2878">
          <cell r="M2878" t="str">
            <v>出行</v>
          </cell>
        </row>
        <row r="2878">
          <cell r="S2878">
            <v>44.5</v>
          </cell>
        </row>
        <row r="2879">
          <cell r="M2879" t="str">
            <v>住宿</v>
          </cell>
        </row>
        <row r="2879">
          <cell r="S2879">
            <v>119</v>
          </cell>
        </row>
        <row r="2880">
          <cell r="M2880" t="str">
            <v>出行</v>
          </cell>
        </row>
        <row r="2880">
          <cell r="S2880">
            <v>4</v>
          </cell>
        </row>
        <row r="2881">
          <cell r="M2881" t="str">
            <v>早餐</v>
          </cell>
        </row>
        <row r="2881">
          <cell r="S2881">
            <v>15</v>
          </cell>
        </row>
        <row r="2882">
          <cell r="M2882" t="str">
            <v>出行</v>
          </cell>
        </row>
        <row r="2882">
          <cell r="S2882">
            <v>5</v>
          </cell>
        </row>
        <row r="2883">
          <cell r="M2883" t="str">
            <v>小资</v>
          </cell>
        </row>
        <row r="2883">
          <cell r="R2883" t="str">
            <v>女人</v>
          </cell>
          <cell r="S2883">
            <v>1200</v>
          </cell>
        </row>
        <row r="2884">
          <cell r="M2884" t="str">
            <v>日用</v>
          </cell>
        </row>
        <row r="2884">
          <cell r="S2884">
            <v>4</v>
          </cell>
        </row>
        <row r="2885">
          <cell r="M2885" t="str">
            <v>小资</v>
          </cell>
        </row>
        <row r="2885">
          <cell r="R2885" t="str">
            <v>城内</v>
          </cell>
          <cell r="S2885">
            <v>30.6</v>
          </cell>
        </row>
        <row r="2886">
          <cell r="M2886" t="str">
            <v>早餐</v>
          </cell>
        </row>
        <row r="2886">
          <cell r="S2886">
            <v>15</v>
          </cell>
        </row>
        <row r="2887">
          <cell r="M2887" t="str">
            <v>住宿</v>
          </cell>
        </row>
        <row r="2887">
          <cell r="S2887">
            <v>124</v>
          </cell>
        </row>
        <row r="2888">
          <cell r="M2888" t="str">
            <v>日用</v>
          </cell>
        </row>
        <row r="2888">
          <cell r="S2888">
            <v>329.01</v>
          </cell>
        </row>
        <row r="2889">
          <cell r="M2889" t="str">
            <v>课程</v>
          </cell>
        </row>
        <row r="2889">
          <cell r="S2889">
            <v>150</v>
          </cell>
        </row>
        <row r="2890">
          <cell r="M2890" t="str">
            <v>日用</v>
          </cell>
        </row>
        <row r="2890">
          <cell r="S2890">
            <v>10</v>
          </cell>
        </row>
        <row r="2891">
          <cell r="M2891" t="str">
            <v>出行</v>
          </cell>
        </row>
        <row r="2891">
          <cell r="S2891">
            <v>555</v>
          </cell>
        </row>
        <row r="2892">
          <cell r="M2892" t="str">
            <v>出行</v>
          </cell>
        </row>
        <row r="2892">
          <cell r="S2892">
            <v>3</v>
          </cell>
        </row>
        <row r="2893">
          <cell r="M2893" t="str">
            <v>日用</v>
          </cell>
        </row>
        <row r="2893">
          <cell r="S2893">
            <v>1</v>
          </cell>
        </row>
        <row r="2894">
          <cell r="M2894" t="str">
            <v>出行</v>
          </cell>
        </row>
        <row r="2894">
          <cell r="S2894">
            <v>3</v>
          </cell>
        </row>
        <row r="2895">
          <cell r="M2895" t="str">
            <v>日用</v>
          </cell>
        </row>
        <row r="2895">
          <cell r="S2895">
            <v>30.12</v>
          </cell>
        </row>
        <row r="2896">
          <cell r="M2896" t="str">
            <v>早餐</v>
          </cell>
        </row>
        <row r="2896">
          <cell r="S2896">
            <v>29</v>
          </cell>
        </row>
        <row r="2897">
          <cell r="M2897" t="str">
            <v>课程</v>
          </cell>
        </row>
        <row r="2897">
          <cell r="S2897">
            <v>150</v>
          </cell>
        </row>
        <row r="2898">
          <cell r="M2898" t="str">
            <v>早餐</v>
          </cell>
        </row>
        <row r="2898">
          <cell r="S2898">
            <v>15</v>
          </cell>
        </row>
        <row r="2899">
          <cell r="M2899" t="str">
            <v>日用</v>
          </cell>
        </row>
        <row r="2899">
          <cell r="S2899">
            <v>5</v>
          </cell>
        </row>
        <row r="2900">
          <cell r="M2900" t="str">
            <v>日用</v>
          </cell>
        </row>
        <row r="2900">
          <cell r="S2900">
            <v>29</v>
          </cell>
        </row>
        <row r="2901">
          <cell r="M2901" t="str">
            <v>出行</v>
          </cell>
        </row>
        <row r="2901">
          <cell r="S2901">
            <v>7</v>
          </cell>
        </row>
        <row r="2902">
          <cell r="M2902" t="str">
            <v>社交</v>
          </cell>
        </row>
        <row r="2902">
          <cell r="S2902">
            <v>14</v>
          </cell>
        </row>
        <row r="2903">
          <cell r="M2903" t="str">
            <v>日用</v>
          </cell>
        </row>
        <row r="2903">
          <cell r="S2903">
            <v>6</v>
          </cell>
        </row>
        <row r="2904">
          <cell r="M2904" t="str">
            <v>日用</v>
          </cell>
        </row>
        <row r="2904">
          <cell r="S2904">
            <v>100</v>
          </cell>
        </row>
        <row r="2905">
          <cell r="M2905" t="str">
            <v>社交</v>
          </cell>
        </row>
        <row r="2905">
          <cell r="S2905">
            <v>107</v>
          </cell>
        </row>
        <row r="2906">
          <cell r="M2906" t="str">
            <v>日用</v>
          </cell>
        </row>
        <row r="2906">
          <cell r="S2906">
            <v>260</v>
          </cell>
        </row>
        <row r="2907">
          <cell r="M2907" t="str">
            <v>日用</v>
          </cell>
        </row>
        <row r="2907">
          <cell r="S2907">
            <v>1.5</v>
          </cell>
        </row>
        <row r="2908">
          <cell r="M2908" t="str">
            <v>出行</v>
          </cell>
        </row>
        <row r="2908">
          <cell r="S2908">
            <v>1.8</v>
          </cell>
        </row>
        <row r="2909">
          <cell r="M2909" t="str">
            <v>日用</v>
          </cell>
        </row>
        <row r="2909">
          <cell r="S2909">
            <v>10</v>
          </cell>
        </row>
        <row r="2910">
          <cell r="M2910" t="str">
            <v>出行</v>
          </cell>
        </row>
        <row r="2910">
          <cell r="S2910">
            <v>1.8</v>
          </cell>
        </row>
        <row r="2911">
          <cell r="M2911" t="str">
            <v>社交</v>
          </cell>
        </row>
        <row r="2911">
          <cell r="S2911">
            <v>66</v>
          </cell>
        </row>
        <row r="2912">
          <cell r="M2912" t="str">
            <v>工资</v>
          </cell>
        </row>
        <row r="2912">
          <cell r="S2912">
            <v>-2000</v>
          </cell>
        </row>
        <row r="2913">
          <cell r="M2913" t="str">
            <v>日用</v>
          </cell>
        </row>
        <row r="2913">
          <cell r="S2913">
            <v>80</v>
          </cell>
        </row>
        <row r="2914">
          <cell r="M2914" t="str">
            <v>社交</v>
          </cell>
        </row>
        <row r="2914">
          <cell r="S2914">
            <v>23</v>
          </cell>
        </row>
        <row r="2915">
          <cell r="M2915" t="str">
            <v>社交</v>
          </cell>
        </row>
        <row r="2915">
          <cell r="S2915">
            <v>114</v>
          </cell>
        </row>
        <row r="2916">
          <cell r="M2916" t="str">
            <v>房租</v>
          </cell>
        </row>
        <row r="2916">
          <cell r="S2916">
            <v>120</v>
          </cell>
        </row>
        <row r="2917">
          <cell r="M2917" t="str">
            <v>日用</v>
          </cell>
        </row>
        <row r="2917">
          <cell r="S2917">
            <v>282</v>
          </cell>
        </row>
        <row r="2918">
          <cell r="M2918" t="str">
            <v>话费</v>
          </cell>
        </row>
        <row r="2918">
          <cell r="S2918">
            <v>80</v>
          </cell>
        </row>
        <row r="2919">
          <cell r="M2919" t="str">
            <v>早餐</v>
          </cell>
        </row>
        <row r="2919">
          <cell r="S2919">
            <v>35.6</v>
          </cell>
        </row>
        <row r="2920">
          <cell r="M2920" t="str">
            <v>出行</v>
          </cell>
        </row>
        <row r="2920">
          <cell r="S2920">
            <v>1.8</v>
          </cell>
        </row>
        <row r="2921">
          <cell r="M2921" t="str">
            <v>出行</v>
          </cell>
        </row>
        <row r="2921">
          <cell r="S2921">
            <v>1.8</v>
          </cell>
        </row>
        <row r="2922">
          <cell r="M2922" t="str">
            <v>出行</v>
          </cell>
        </row>
        <row r="2922">
          <cell r="S2922">
            <v>16.9</v>
          </cell>
        </row>
        <row r="2923">
          <cell r="M2923" t="str">
            <v>早餐</v>
          </cell>
        </row>
        <row r="2923">
          <cell r="S2923">
            <v>10.6</v>
          </cell>
        </row>
        <row r="2924">
          <cell r="M2924" t="str">
            <v>社交</v>
          </cell>
        </row>
        <row r="2924">
          <cell r="S2924">
            <v>18.6</v>
          </cell>
        </row>
        <row r="2925">
          <cell r="M2925" t="str">
            <v>小资</v>
          </cell>
        </row>
        <row r="2925">
          <cell r="R2925" t="str">
            <v>电影</v>
          </cell>
          <cell r="S2925">
            <v>32.5</v>
          </cell>
        </row>
        <row r="2926">
          <cell r="M2926" t="str">
            <v>早餐</v>
          </cell>
        </row>
        <row r="2926">
          <cell r="S2926">
            <v>15</v>
          </cell>
        </row>
        <row r="2927">
          <cell r="M2927" t="str">
            <v>出行</v>
          </cell>
        </row>
        <row r="2927">
          <cell r="S2927">
            <v>12</v>
          </cell>
        </row>
        <row r="2928">
          <cell r="M2928" t="str">
            <v>早餐</v>
          </cell>
        </row>
        <row r="2928">
          <cell r="S2928">
            <v>15</v>
          </cell>
        </row>
        <row r="2929">
          <cell r="M2929" t="str">
            <v>日用</v>
          </cell>
        </row>
        <row r="2929">
          <cell r="S2929">
            <v>88.09</v>
          </cell>
        </row>
        <row r="2930">
          <cell r="M2930" t="str">
            <v>出行</v>
          </cell>
        </row>
        <row r="2930">
          <cell r="S2930">
            <v>16.7</v>
          </cell>
        </row>
        <row r="2931">
          <cell r="M2931" t="str">
            <v>日用</v>
          </cell>
        </row>
        <row r="2931">
          <cell r="S2931">
            <v>121.88</v>
          </cell>
        </row>
        <row r="2932">
          <cell r="M2932" t="str">
            <v>小资</v>
          </cell>
        </row>
        <row r="2932">
          <cell r="R2932" t="str">
            <v>话剧</v>
          </cell>
          <cell r="S2932">
            <v>99</v>
          </cell>
        </row>
        <row r="2933">
          <cell r="M2933" t="str">
            <v>早餐</v>
          </cell>
        </row>
        <row r="2933">
          <cell r="S2933">
            <v>31</v>
          </cell>
        </row>
        <row r="2934">
          <cell r="M2934" t="str">
            <v>社交</v>
          </cell>
        </row>
        <row r="2934">
          <cell r="S2934">
            <v>116</v>
          </cell>
        </row>
        <row r="2935">
          <cell r="M2935" t="str">
            <v>小资</v>
          </cell>
        </row>
        <row r="2935">
          <cell r="R2935" t="str">
            <v>门票</v>
          </cell>
          <cell r="S2935">
            <v>72</v>
          </cell>
        </row>
        <row r="2936">
          <cell r="M2936" t="str">
            <v>小资</v>
          </cell>
        </row>
        <row r="2936">
          <cell r="R2936" t="str">
            <v>城内</v>
          </cell>
          <cell r="S2936">
            <v>20</v>
          </cell>
        </row>
        <row r="2937">
          <cell r="M2937" t="str">
            <v>小资</v>
          </cell>
        </row>
        <row r="2937">
          <cell r="R2937" t="str">
            <v>吃喝</v>
          </cell>
          <cell r="S2937">
            <v>8</v>
          </cell>
        </row>
        <row r="2938">
          <cell r="M2938" t="str">
            <v>小资</v>
          </cell>
        </row>
        <row r="2938">
          <cell r="R2938" t="str">
            <v>吃喝</v>
          </cell>
          <cell r="S2938">
            <v>63</v>
          </cell>
        </row>
        <row r="2939">
          <cell r="M2939" t="str">
            <v>小资</v>
          </cell>
        </row>
        <row r="2939">
          <cell r="R2939" t="str">
            <v>吃喝</v>
          </cell>
          <cell r="S2939">
            <v>14.5</v>
          </cell>
        </row>
        <row r="2940">
          <cell r="M2940" t="str">
            <v>出行</v>
          </cell>
        </row>
        <row r="2940">
          <cell r="S2940">
            <v>2.7</v>
          </cell>
        </row>
        <row r="2941">
          <cell r="M2941" t="str">
            <v>出行</v>
          </cell>
        </row>
        <row r="2941">
          <cell r="S2941">
            <v>1.8</v>
          </cell>
        </row>
        <row r="2942">
          <cell r="M2942" t="str">
            <v>小资</v>
          </cell>
        </row>
        <row r="2942">
          <cell r="R2942" t="str">
            <v>门票</v>
          </cell>
          <cell r="S2942">
            <v>50</v>
          </cell>
        </row>
        <row r="2943">
          <cell r="M2943" t="str">
            <v>小资</v>
          </cell>
        </row>
        <row r="2943">
          <cell r="R2943" t="str">
            <v>门票</v>
          </cell>
          <cell r="S2943">
            <v>30</v>
          </cell>
        </row>
        <row r="2944">
          <cell r="M2944" t="str">
            <v>小资</v>
          </cell>
        </row>
        <row r="2944">
          <cell r="R2944" t="str">
            <v>门票</v>
          </cell>
          <cell r="S2944">
            <v>21</v>
          </cell>
        </row>
        <row r="2945">
          <cell r="M2945" t="str">
            <v>早餐</v>
          </cell>
        </row>
        <row r="2945">
          <cell r="S2945">
            <v>14</v>
          </cell>
        </row>
        <row r="2946">
          <cell r="M2946" t="str">
            <v>早餐</v>
          </cell>
        </row>
        <row r="2946">
          <cell r="S2946">
            <v>14</v>
          </cell>
        </row>
        <row r="2947">
          <cell r="M2947" t="str">
            <v>出行</v>
          </cell>
        </row>
        <row r="2947">
          <cell r="S2947">
            <v>4.5</v>
          </cell>
        </row>
        <row r="2948">
          <cell r="M2948" t="str">
            <v>社交</v>
          </cell>
        </row>
        <row r="2948">
          <cell r="S2948">
            <v>13</v>
          </cell>
        </row>
        <row r="2949">
          <cell r="M2949" t="str">
            <v>早餐</v>
          </cell>
        </row>
        <row r="2949">
          <cell r="S2949">
            <v>10</v>
          </cell>
        </row>
        <row r="2950">
          <cell r="M2950" t="str">
            <v>早餐</v>
          </cell>
        </row>
        <row r="2950">
          <cell r="S2950">
            <v>42</v>
          </cell>
        </row>
        <row r="2951">
          <cell r="M2951" t="str">
            <v>会员</v>
          </cell>
        </row>
        <row r="2951">
          <cell r="S2951">
            <v>6</v>
          </cell>
        </row>
        <row r="2952">
          <cell r="M2952" t="str">
            <v>出行</v>
          </cell>
        </row>
        <row r="2952">
          <cell r="S2952">
            <v>3.6</v>
          </cell>
        </row>
        <row r="2953">
          <cell r="M2953" t="str">
            <v>日用</v>
          </cell>
        </row>
        <row r="2953">
          <cell r="S2953">
            <v>3.9</v>
          </cell>
        </row>
        <row r="2954">
          <cell r="M2954" t="str">
            <v>小资</v>
          </cell>
        </row>
        <row r="2954">
          <cell r="R2954" t="str">
            <v>吃喝</v>
          </cell>
          <cell r="S2954">
            <v>38</v>
          </cell>
        </row>
        <row r="2955">
          <cell r="M2955" t="str">
            <v>出行</v>
          </cell>
        </row>
        <row r="2955">
          <cell r="S2955">
            <v>3.6</v>
          </cell>
        </row>
        <row r="2956">
          <cell r="M2956" t="str">
            <v>小资</v>
          </cell>
        </row>
        <row r="2956">
          <cell r="R2956" t="str">
            <v>话剧</v>
          </cell>
          <cell r="S2956">
            <v>150</v>
          </cell>
        </row>
        <row r="2957">
          <cell r="M2957" t="str">
            <v>副投</v>
          </cell>
        </row>
        <row r="2957">
          <cell r="R2957" t="str">
            <v>课程</v>
          </cell>
          <cell r="S2957">
            <v>59</v>
          </cell>
        </row>
        <row r="2958">
          <cell r="M2958" t="str">
            <v>副投</v>
          </cell>
        </row>
        <row r="2958">
          <cell r="R2958" t="str">
            <v>课程</v>
          </cell>
          <cell r="S2958">
            <v>256.45</v>
          </cell>
        </row>
        <row r="2959">
          <cell r="M2959" t="str">
            <v>副投</v>
          </cell>
        </row>
        <row r="2959">
          <cell r="R2959" t="str">
            <v>课程</v>
          </cell>
          <cell r="S2959">
            <v>118</v>
          </cell>
        </row>
        <row r="2960">
          <cell r="M2960" t="str">
            <v>副投</v>
          </cell>
        </row>
        <row r="2960">
          <cell r="R2960" t="str">
            <v>课程</v>
          </cell>
          <cell r="S2960">
            <v>8.8</v>
          </cell>
        </row>
        <row r="2961">
          <cell r="M2961" t="str">
            <v>副投</v>
          </cell>
        </row>
        <row r="2961">
          <cell r="R2961" t="str">
            <v>课程</v>
          </cell>
          <cell r="S2961">
            <v>8.6</v>
          </cell>
        </row>
        <row r="2962">
          <cell r="M2962" t="str">
            <v>副投</v>
          </cell>
        </row>
        <row r="2962">
          <cell r="R2962" t="str">
            <v>课程</v>
          </cell>
          <cell r="S2962">
            <v>4.9</v>
          </cell>
        </row>
        <row r="2963">
          <cell r="M2963" t="str">
            <v>副投</v>
          </cell>
        </row>
        <row r="2963">
          <cell r="R2963" t="str">
            <v>课程</v>
          </cell>
          <cell r="S2963">
            <v>9.8</v>
          </cell>
        </row>
        <row r="2964">
          <cell r="M2964" t="str">
            <v>副投</v>
          </cell>
        </row>
        <row r="2964">
          <cell r="R2964" t="str">
            <v>课程</v>
          </cell>
          <cell r="S2964">
            <v>16</v>
          </cell>
        </row>
        <row r="2965">
          <cell r="M2965" t="str">
            <v>副投</v>
          </cell>
        </row>
        <row r="2965">
          <cell r="R2965" t="str">
            <v>课程</v>
          </cell>
          <cell r="S2965">
            <v>16.2</v>
          </cell>
        </row>
        <row r="2966">
          <cell r="M2966" t="str">
            <v>副投</v>
          </cell>
        </row>
        <row r="2966">
          <cell r="R2966" t="str">
            <v>课程</v>
          </cell>
          <cell r="S2966">
            <v>9.8</v>
          </cell>
        </row>
        <row r="2967">
          <cell r="M2967" t="str">
            <v>副投</v>
          </cell>
        </row>
        <row r="2967">
          <cell r="R2967" t="str">
            <v>课程</v>
          </cell>
          <cell r="S2967">
            <v>6.6</v>
          </cell>
        </row>
        <row r="2968">
          <cell r="M2968" t="str">
            <v>副投</v>
          </cell>
        </row>
        <row r="2968">
          <cell r="R2968" t="str">
            <v>课程</v>
          </cell>
          <cell r="S2968">
            <v>61</v>
          </cell>
        </row>
        <row r="2969">
          <cell r="M2969" t="str">
            <v>副投</v>
          </cell>
        </row>
        <row r="2969">
          <cell r="R2969" t="str">
            <v>课程</v>
          </cell>
          <cell r="S2969">
            <v>5.4</v>
          </cell>
        </row>
        <row r="2970">
          <cell r="M2970" t="str">
            <v>日用</v>
          </cell>
        </row>
        <row r="2970">
          <cell r="S2970">
            <v>58.8</v>
          </cell>
        </row>
        <row r="2971">
          <cell r="M2971" t="str">
            <v>早餐</v>
          </cell>
        </row>
        <row r="2971">
          <cell r="S2971">
            <v>27</v>
          </cell>
        </row>
        <row r="2972">
          <cell r="M2972" t="str">
            <v>早餐</v>
          </cell>
        </row>
        <row r="2972">
          <cell r="S2972">
            <v>30.2</v>
          </cell>
        </row>
        <row r="2973">
          <cell r="M2973" t="str">
            <v>出行</v>
          </cell>
        </row>
        <row r="2973">
          <cell r="R2973" t="str">
            <v>城际</v>
          </cell>
          <cell r="S2973">
            <v>209</v>
          </cell>
        </row>
        <row r="2974">
          <cell r="M2974" t="str">
            <v>出行</v>
          </cell>
        </row>
        <row r="2974">
          <cell r="R2974" t="str">
            <v>城际</v>
          </cell>
          <cell r="S2974">
            <v>50</v>
          </cell>
        </row>
        <row r="2975">
          <cell r="M2975" t="str">
            <v>早餐</v>
          </cell>
        </row>
        <row r="2975">
          <cell r="S2975">
            <v>15</v>
          </cell>
        </row>
        <row r="2976">
          <cell r="M2976" t="str">
            <v>早餐</v>
          </cell>
        </row>
        <row r="2976">
          <cell r="S2976">
            <v>3.5</v>
          </cell>
        </row>
        <row r="2977">
          <cell r="M2977" t="str">
            <v>社交</v>
          </cell>
        </row>
        <row r="2977">
          <cell r="S2977">
            <v>88</v>
          </cell>
        </row>
        <row r="2978">
          <cell r="M2978" t="str">
            <v>日用</v>
          </cell>
        </row>
        <row r="2978">
          <cell r="S2978">
            <v>11</v>
          </cell>
        </row>
        <row r="2979">
          <cell r="M2979" t="str">
            <v>小资</v>
          </cell>
        </row>
        <row r="2979">
          <cell r="R2979" t="str">
            <v>女人</v>
          </cell>
          <cell r="S2979">
            <v>484</v>
          </cell>
        </row>
        <row r="2980">
          <cell r="M2980" t="str">
            <v>小资</v>
          </cell>
        </row>
        <row r="2980">
          <cell r="R2980" t="str">
            <v>城内</v>
          </cell>
          <cell r="S2980">
            <v>37.17</v>
          </cell>
        </row>
        <row r="2981">
          <cell r="M2981" t="str">
            <v>小资</v>
          </cell>
        </row>
        <row r="2981">
          <cell r="R2981" t="str">
            <v>城内</v>
          </cell>
          <cell r="S2981">
            <v>10.9</v>
          </cell>
        </row>
        <row r="2982">
          <cell r="M2982" t="str">
            <v>话费</v>
          </cell>
        </row>
        <row r="2982">
          <cell r="S2982">
            <v>50</v>
          </cell>
        </row>
        <row r="2983">
          <cell r="M2983" t="str">
            <v>孝敬</v>
          </cell>
        </row>
        <row r="2983">
          <cell r="S2983">
            <v>10000</v>
          </cell>
        </row>
        <row r="2984">
          <cell r="M2984" t="str">
            <v>日用</v>
          </cell>
        </row>
        <row r="2984">
          <cell r="S2984">
            <v>9.85</v>
          </cell>
        </row>
        <row r="2985">
          <cell r="M2985" t="str">
            <v>早餐</v>
          </cell>
        </row>
        <row r="2985">
          <cell r="S2985">
            <v>12</v>
          </cell>
        </row>
        <row r="2986">
          <cell r="M2986" t="str">
            <v>早餐</v>
          </cell>
        </row>
        <row r="2986">
          <cell r="S2986">
            <v>36</v>
          </cell>
        </row>
        <row r="2987">
          <cell r="M2987" t="str">
            <v>副投</v>
          </cell>
        </row>
        <row r="2987">
          <cell r="R2987" t="str">
            <v>梯子</v>
          </cell>
          <cell r="S2987">
            <v>49</v>
          </cell>
        </row>
        <row r="2988">
          <cell r="M2988" t="str">
            <v>社交</v>
          </cell>
        </row>
        <row r="2988">
          <cell r="S2988">
            <v>7</v>
          </cell>
        </row>
        <row r="2989">
          <cell r="M2989" t="str">
            <v>住宿</v>
          </cell>
        </row>
        <row r="2989">
          <cell r="R2989" t="str">
            <v>住宿</v>
          </cell>
          <cell r="S2989">
            <v>91.8</v>
          </cell>
        </row>
        <row r="2990">
          <cell r="M2990" t="str">
            <v>住宿</v>
          </cell>
        </row>
        <row r="2990">
          <cell r="R2990" t="str">
            <v>住宿</v>
          </cell>
          <cell r="S2990">
            <v>100</v>
          </cell>
        </row>
        <row r="2991">
          <cell r="M2991" t="str">
            <v>出行</v>
          </cell>
        </row>
        <row r="2991">
          <cell r="R2991" t="str">
            <v>出行</v>
          </cell>
          <cell r="S2991">
            <v>11.5</v>
          </cell>
        </row>
        <row r="2992">
          <cell r="M2992" t="str">
            <v>出行</v>
          </cell>
        </row>
        <row r="2992">
          <cell r="S2992">
            <v>5.4</v>
          </cell>
        </row>
        <row r="2993">
          <cell r="M2993" t="str">
            <v>早餐</v>
          </cell>
        </row>
        <row r="2993">
          <cell r="R2993" t="str">
            <v>早餐</v>
          </cell>
          <cell r="S2993">
            <v>11</v>
          </cell>
        </row>
        <row r="2994">
          <cell r="M2994" t="str">
            <v>出行</v>
          </cell>
        </row>
        <row r="2994">
          <cell r="R2994" t="str">
            <v>出行</v>
          </cell>
          <cell r="S2994">
            <v>10.8</v>
          </cell>
        </row>
        <row r="2995">
          <cell r="M2995" t="str">
            <v>出行</v>
          </cell>
        </row>
        <row r="2995">
          <cell r="R2995" t="str">
            <v>出行</v>
          </cell>
          <cell r="S2995">
            <v>10</v>
          </cell>
        </row>
        <row r="2996">
          <cell r="M2996" t="str">
            <v>早餐</v>
          </cell>
        </row>
        <row r="2996">
          <cell r="R2996" t="str">
            <v>早餐</v>
          </cell>
          <cell r="S2996">
            <v>15</v>
          </cell>
        </row>
        <row r="2997">
          <cell r="M2997" t="str">
            <v>日用</v>
          </cell>
        </row>
        <row r="2997">
          <cell r="R2997" t="str">
            <v>日用</v>
          </cell>
          <cell r="S2997">
            <v>18.8</v>
          </cell>
        </row>
        <row r="2998">
          <cell r="M2998" t="str">
            <v>住宿</v>
          </cell>
        </row>
        <row r="2998">
          <cell r="R2998" t="str">
            <v>住宿</v>
          </cell>
          <cell r="S2998">
            <v>-20</v>
          </cell>
        </row>
        <row r="2999">
          <cell r="M2999" t="str">
            <v>日用</v>
          </cell>
        </row>
        <row r="2999">
          <cell r="R2999" t="str">
            <v>日用</v>
          </cell>
          <cell r="S2999">
            <v>8</v>
          </cell>
        </row>
        <row r="3000">
          <cell r="M3000" t="str">
            <v>日用</v>
          </cell>
        </row>
        <row r="3000">
          <cell r="R3000" t="str">
            <v>日用</v>
          </cell>
          <cell r="S3000">
            <v>3</v>
          </cell>
        </row>
        <row r="3001">
          <cell r="M3001" t="str">
            <v>早餐</v>
          </cell>
        </row>
        <row r="3001">
          <cell r="R3001" t="str">
            <v>早餐</v>
          </cell>
          <cell r="S3001">
            <v>12</v>
          </cell>
        </row>
        <row r="3002">
          <cell r="M3002" t="str">
            <v>住宿</v>
          </cell>
        </row>
        <row r="3002">
          <cell r="R3002" t="str">
            <v>住宿</v>
          </cell>
          <cell r="S3002">
            <v>-100</v>
          </cell>
        </row>
        <row r="3003">
          <cell r="M3003" t="str">
            <v>房租</v>
          </cell>
        </row>
        <row r="3003">
          <cell r="R3003" t="str">
            <v>房租</v>
          </cell>
          <cell r="S3003">
            <v>2800</v>
          </cell>
        </row>
        <row r="3004">
          <cell r="M3004" t="str">
            <v>日用</v>
          </cell>
        </row>
        <row r="3004">
          <cell r="R3004" t="str">
            <v>日用</v>
          </cell>
          <cell r="S3004">
            <v>160.5</v>
          </cell>
        </row>
        <row r="3005">
          <cell r="M3005" t="str">
            <v>日用</v>
          </cell>
        </row>
        <row r="3005">
          <cell r="R3005" t="str">
            <v>日用</v>
          </cell>
          <cell r="S3005">
            <v>2</v>
          </cell>
        </row>
        <row r="3006">
          <cell r="M3006" t="str">
            <v>日用</v>
          </cell>
        </row>
        <row r="3006">
          <cell r="R3006" t="str">
            <v>日用</v>
          </cell>
          <cell r="S3006">
            <v>6.7</v>
          </cell>
        </row>
        <row r="3007">
          <cell r="M3007" t="str">
            <v>日用</v>
          </cell>
        </row>
        <row r="3007">
          <cell r="R3007" t="str">
            <v>日用</v>
          </cell>
          <cell r="S3007">
            <v>-6.7</v>
          </cell>
        </row>
        <row r="3008">
          <cell r="M3008" t="str">
            <v>日用</v>
          </cell>
        </row>
        <row r="3008">
          <cell r="R3008" t="str">
            <v>日用</v>
          </cell>
          <cell r="S3008">
            <v>7</v>
          </cell>
        </row>
        <row r="3009">
          <cell r="M3009" t="str">
            <v>日用</v>
          </cell>
        </row>
        <row r="3009">
          <cell r="R3009" t="str">
            <v>日用</v>
          </cell>
          <cell r="S3009">
            <v>-147.95</v>
          </cell>
        </row>
        <row r="3010">
          <cell r="M3010" t="str">
            <v>日用</v>
          </cell>
        </row>
        <row r="3010">
          <cell r="R3010" t="str">
            <v>日用</v>
          </cell>
          <cell r="S3010">
            <v>158.4</v>
          </cell>
        </row>
        <row r="3011">
          <cell r="M3011" t="str">
            <v>早餐</v>
          </cell>
        </row>
        <row r="3011">
          <cell r="R3011" t="str">
            <v>早餐</v>
          </cell>
          <cell r="S3011">
            <v>78</v>
          </cell>
        </row>
        <row r="3012">
          <cell r="M3012" t="str">
            <v>副入</v>
          </cell>
        </row>
        <row r="3012">
          <cell r="S3012">
            <v>-10000</v>
          </cell>
        </row>
        <row r="3013">
          <cell r="M3013" t="str">
            <v>日用</v>
          </cell>
        </row>
        <row r="3013">
          <cell r="R3013" t="str">
            <v>日用</v>
          </cell>
          <cell r="S3013">
            <v>31.2</v>
          </cell>
        </row>
        <row r="3014">
          <cell r="M3014" t="str">
            <v>医保</v>
          </cell>
        </row>
        <row r="3014">
          <cell r="S3014">
            <v>379.38</v>
          </cell>
        </row>
        <row r="3015">
          <cell r="M3015" t="str">
            <v>早餐</v>
          </cell>
        </row>
        <row r="3015">
          <cell r="R3015" t="str">
            <v>早餐</v>
          </cell>
          <cell r="S3015">
            <v>12</v>
          </cell>
        </row>
        <row r="3016">
          <cell r="M3016" t="str">
            <v>早餐</v>
          </cell>
        </row>
        <row r="3016">
          <cell r="R3016" t="str">
            <v>早餐</v>
          </cell>
          <cell r="S3016">
            <v>9.9</v>
          </cell>
        </row>
        <row r="3017">
          <cell r="M3017" t="str">
            <v>出行</v>
          </cell>
        </row>
        <row r="3017">
          <cell r="R3017" t="str">
            <v>出行</v>
          </cell>
          <cell r="S3017">
            <v>11.6</v>
          </cell>
        </row>
        <row r="3018">
          <cell r="M3018" t="str">
            <v>出行</v>
          </cell>
        </row>
        <row r="3018">
          <cell r="R3018" t="str">
            <v>出行</v>
          </cell>
          <cell r="S3018">
            <v>16.2</v>
          </cell>
        </row>
        <row r="3019">
          <cell r="M3019" t="str">
            <v>早餐</v>
          </cell>
        </row>
        <row r="3019">
          <cell r="R3019" t="str">
            <v>早餐</v>
          </cell>
          <cell r="S3019">
            <v>15</v>
          </cell>
        </row>
        <row r="3020">
          <cell r="M3020" t="str">
            <v>早餐</v>
          </cell>
        </row>
        <row r="3020">
          <cell r="R3020" t="str">
            <v>早餐</v>
          </cell>
          <cell r="S3020">
            <v>5</v>
          </cell>
        </row>
        <row r="3021">
          <cell r="M3021" t="str">
            <v>早餐</v>
          </cell>
        </row>
        <row r="3021">
          <cell r="R3021" t="str">
            <v>早餐</v>
          </cell>
          <cell r="S3021">
            <v>7</v>
          </cell>
        </row>
        <row r="3022">
          <cell r="M3022" t="str">
            <v>早餐</v>
          </cell>
        </row>
        <row r="3022">
          <cell r="R3022" t="str">
            <v>早餐</v>
          </cell>
          <cell r="S3022">
            <v>13</v>
          </cell>
        </row>
        <row r="3023">
          <cell r="M3023" t="str">
            <v>早餐</v>
          </cell>
        </row>
        <row r="3023">
          <cell r="R3023" t="str">
            <v>早餐</v>
          </cell>
          <cell r="S3023">
            <v>10</v>
          </cell>
        </row>
        <row r="3024">
          <cell r="M3024" t="str">
            <v>副入</v>
          </cell>
        </row>
        <row r="3024">
          <cell r="S3024">
            <v>-10000</v>
          </cell>
        </row>
        <row r="3025">
          <cell r="M3025" t="str">
            <v>收回债权</v>
          </cell>
        </row>
        <row r="3025">
          <cell r="S3025">
            <v>-5000</v>
          </cell>
        </row>
        <row r="3026">
          <cell r="M3026" t="str">
            <v>话费</v>
          </cell>
        </row>
        <row r="3026">
          <cell r="R3026" t="str">
            <v>话费</v>
          </cell>
          <cell r="S3026">
            <v>50</v>
          </cell>
        </row>
        <row r="3027">
          <cell r="M3027" t="str">
            <v>话费</v>
          </cell>
        </row>
        <row r="3027">
          <cell r="R3027" t="str">
            <v>话费</v>
          </cell>
          <cell r="S3027">
            <v>50</v>
          </cell>
        </row>
        <row r="3028">
          <cell r="M3028" t="str">
            <v>早餐</v>
          </cell>
        </row>
        <row r="3028">
          <cell r="R3028" t="str">
            <v>早餐</v>
          </cell>
          <cell r="S3028">
            <v>15</v>
          </cell>
        </row>
        <row r="3029">
          <cell r="M3029" t="str">
            <v>早餐</v>
          </cell>
        </row>
        <row r="3029">
          <cell r="R3029" t="str">
            <v>早餐</v>
          </cell>
          <cell r="S3029">
            <v>3</v>
          </cell>
        </row>
        <row r="3030">
          <cell r="M3030" t="str">
            <v>早餐</v>
          </cell>
        </row>
        <row r="3030">
          <cell r="R3030" t="str">
            <v>早餐</v>
          </cell>
          <cell r="S3030">
            <v>12</v>
          </cell>
        </row>
        <row r="3031">
          <cell r="M3031" t="str">
            <v>日用</v>
          </cell>
        </row>
        <row r="3031">
          <cell r="R3031" t="str">
            <v>日用</v>
          </cell>
          <cell r="S3031">
            <v>9.5</v>
          </cell>
        </row>
        <row r="3032">
          <cell r="M3032" t="str">
            <v>话费</v>
          </cell>
        </row>
        <row r="3032">
          <cell r="R3032" t="str">
            <v>话费</v>
          </cell>
          <cell r="S3032">
            <v>50</v>
          </cell>
        </row>
        <row r="3033">
          <cell r="M3033" t="str">
            <v>早餐</v>
          </cell>
        </row>
        <row r="3033">
          <cell r="R3033" t="str">
            <v>早餐</v>
          </cell>
          <cell r="S3033">
            <v>12</v>
          </cell>
        </row>
        <row r="3034">
          <cell r="M3034" t="str">
            <v>日用</v>
          </cell>
        </row>
        <row r="3034">
          <cell r="R3034" t="str">
            <v>日用</v>
          </cell>
          <cell r="S3034">
            <v>-558.51</v>
          </cell>
        </row>
        <row r="3035">
          <cell r="M3035" t="str">
            <v>副入</v>
          </cell>
        </row>
        <row r="3035">
          <cell r="S3035">
            <v>-200</v>
          </cell>
        </row>
        <row r="3036">
          <cell r="M3036" t="str">
            <v>早餐</v>
          </cell>
        </row>
        <row r="3036">
          <cell r="R3036" t="str">
            <v>早餐</v>
          </cell>
          <cell r="S3036">
            <v>20</v>
          </cell>
        </row>
        <row r="3037">
          <cell r="M3037" t="str">
            <v>出行</v>
          </cell>
        </row>
        <row r="3037">
          <cell r="R3037" t="str">
            <v>出行</v>
          </cell>
          <cell r="S3037">
            <v>23.4</v>
          </cell>
        </row>
        <row r="3038">
          <cell r="M3038" t="str">
            <v>小资</v>
          </cell>
        </row>
        <row r="3038">
          <cell r="R3038" t="str">
            <v>电影票</v>
          </cell>
          <cell r="S3038">
            <v>35.04</v>
          </cell>
        </row>
        <row r="3039">
          <cell r="M3039" t="str">
            <v>早餐</v>
          </cell>
        </row>
        <row r="3039">
          <cell r="R3039" t="str">
            <v>早餐</v>
          </cell>
          <cell r="S3039">
            <v>24.79</v>
          </cell>
        </row>
        <row r="3040">
          <cell r="M3040" t="str">
            <v>日用</v>
          </cell>
        </row>
        <row r="3040">
          <cell r="R3040" t="str">
            <v>日用</v>
          </cell>
          <cell r="S3040">
            <v>-58.8</v>
          </cell>
        </row>
        <row r="3041">
          <cell r="M3041" t="str">
            <v>日用</v>
          </cell>
        </row>
        <row r="3041">
          <cell r="R3041" t="str">
            <v>日用</v>
          </cell>
          <cell r="S3041">
            <v>58.9</v>
          </cell>
        </row>
        <row r="3042">
          <cell r="M3042" t="str">
            <v>日用</v>
          </cell>
        </row>
        <row r="3042">
          <cell r="R3042" t="str">
            <v>日用</v>
          </cell>
          <cell r="S3042">
            <v>27.9</v>
          </cell>
        </row>
        <row r="3043">
          <cell r="M3043" t="str">
            <v>日用</v>
          </cell>
        </row>
        <row r="3043">
          <cell r="R3043" t="str">
            <v>日用</v>
          </cell>
          <cell r="S3043">
            <v>7</v>
          </cell>
        </row>
        <row r="3044">
          <cell r="M3044" t="str">
            <v>副投</v>
          </cell>
        </row>
        <row r="3044">
          <cell r="R3044" t="str">
            <v>美区邮箱</v>
          </cell>
          <cell r="S3044">
            <v>35</v>
          </cell>
        </row>
        <row r="3045">
          <cell r="M3045" t="str">
            <v>日用</v>
          </cell>
        </row>
        <row r="3045">
          <cell r="R3045" t="str">
            <v>日用</v>
          </cell>
          <cell r="S3045">
            <v>9</v>
          </cell>
        </row>
        <row r="3046">
          <cell r="M3046" t="str">
            <v>日用</v>
          </cell>
        </row>
        <row r="3046">
          <cell r="R3046" t="str">
            <v>日用</v>
          </cell>
          <cell r="S3046">
            <v>55.67</v>
          </cell>
        </row>
        <row r="3047">
          <cell r="M3047" t="str">
            <v>早餐</v>
          </cell>
        </row>
        <row r="3047">
          <cell r="R3047" t="str">
            <v>早餐</v>
          </cell>
          <cell r="S3047">
            <v>22</v>
          </cell>
        </row>
        <row r="3048">
          <cell r="M3048" t="str">
            <v>副投</v>
          </cell>
        </row>
        <row r="3048">
          <cell r="R3048" t="str">
            <v>谷歌邮箱</v>
          </cell>
          <cell r="S3048">
            <v>22.72</v>
          </cell>
        </row>
        <row r="3049">
          <cell r="M3049" t="str">
            <v>早餐</v>
          </cell>
        </row>
        <row r="3049">
          <cell r="R3049" t="str">
            <v>早餐</v>
          </cell>
          <cell r="S3049">
            <v>-5</v>
          </cell>
        </row>
        <row r="3050">
          <cell r="M3050" t="str">
            <v>早餐</v>
          </cell>
        </row>
        <row r="3050">
          <cell r="R3050" t="str">
            <v>早餐</v>
          </cell>
          <cell r="S3050">
            <v>13</v>
          </cell>
        </row>
        <row r="3051">
          <cell r="M3051" t="str">
            <v>早餐</v>
          </cell>
        </row>
        <row r="3051">
          <cell r="R3051" t="str">
            <v>早餐</v>
          </cell>
          <cell r="S3051">
            <v>2</v>
          </cell>
        </row>
        <row r="3052">
          <cell r="M3052" t="str">
            <v>早餐</v>
          </cell>
        </row>
        <row r="3052">
          <cell r="R3052" t="str">
            <v>早餐</v>
          </cell>
          <cell r="S3052">
            <v>12</v>
          </cell>
        </row>
        <row r="3053">
          <cell r="M3053" t="str">
            <v>日用</v>
          </cell>
        </row>
        <row r="3053">
          <cell r="R3053" t="str">
            <v>日用</v>
          </cell>
          <cell r="S3053">
            <v>59.2</v>
          </cell>
        </row>
        <row r="3054">
          <cell r="M3054" t="str">
            <v>副投</v>
          </cell>
        </row>
        <row r="3054">
          <cell r="R3054" t="str">
            <v>梯子</v>
          </cell>
          <cell r="S3054">
            <v>25</v>
          </cell>
        </row>
        <row r="3055">
          <cell r="M3055" t="str">
            <v>早餐</v>
          </cell>
        </row>
        <row r="3055">
          <cell r="R3055" t="str">
            <v>早餐</v>
          </cell>
          <cell r="S3055">
            <v>18</v>
          </cell>
        </row>
        <row r="3056">
          <cell r="M3056" t="str">
            <v>副投</v>
          </cell>
        </row>
        <row r="3056">
          <cell r="R3056" t="str">
            <v>重装系统</v>
          </cell>
          <cell r="S3056">
            <v>60</v>
          </cell>
        </row>
        <row r="3057">
          <cell r="M3057" t="str">
            <v>日用</v>
          </cell>
        </row>
        <row r="3057">
          <cell r="R3057" t="str">
            <v>日用</v>
          </cell>
          <cell r="S3057">
            <v>40.8</v>
          </cell>
        </row>
        <row r="3058">
          <cell r="M3058" t="str">
            <v>社交</v>
          </cell>
        </row>
        <row r="3058">
          <cell r="R3058" t="str">
            <v>社交</v>
          </cell>
          <cell r="S3058">
            <v>1</v>
          </cell>
        </row>
        <row r="3059">
          <cell r="M3059" t="str">
            <v>早餐</v>
          </cell>
        </row>
        <row r="3059">
          <cell r="R3059" t="str">
            <v>早餐</v>
          </cell>
          <cell r="S3059">
            <v>14</v>
          </cell>
        </row>
        <row r="3060">
          <cell r="M3060" t="str">
            <v>日用</v>
          </cell>
        </row>
        <row r="3060">
          <cell r="R3060" t="str">
            <v>日用</v>
          </cell>
          <cell r="S3060">
            <v>6.7</v>
          </cell>
        </row>
        <row r="3061">
          <cell r="M3061" t="str">
            <v>日用</v>
          </cell>
        </row>
        <row r="3061">
          <cell r="R3061" t="str">
            <v>日用</v>
          </cell>
          <cell r="S3061">
            <v>-40.8</v>
          </cell>
        </row>
        <row r="3062">
          <cell r="M3062" t="str">
            <v>家医</v>
          </cell>
        </row>
        <row r="3062">
          <cell r="R3062" t="str">
            <v>家医</v>
          </cell>
          <cell r="S3062">
            <v>128</v>
          </cell>
        </row>
        <row r="3063">
          <cell r="M3063" t="str">
            <v>早餐</v>
          </cell>
        </row>
        <row r="3063">
          <cell r="R3063" t="str">
            <v>早餐</v>
          </cell>
          <cell r="S3063">
            <v>20</v>
          </cell>
        </row>
        <row r="3064">
          <cell r="M3064" t="str">
            <v>早餐</v>
          </cell>
        </row>
        <row r="3064">
          <cell r="R3064" t="str">
            <v>早餐</v>
          </cell>
          <cell r="S3064">
            <v>-5</v>
          </cell>
        </row>
        <row r="3065">
          <cell r="M3065" t="str">
            <v>日用</v>
          </cell>
        </row>
        <row r="3065">
          <cell r="R3065" t="str">
            <v>日用</v>
          </cell>
          <cell r="S3065">
            <v>12</v>
          </cell>
        </row>
        <row r="3066">
          <cell r="M3066" t="str">
            <v>日用</v>
          </cell>
        </row>
        <row r="3066">
          <cell r="R3066" t="str">
            <v>日用</v>
          </cell>
          <cell r="S3066">
            <v>100</v>
          </cell>
        </row>
        <row r="3067">
          <cell r="M3067" t="str">
            <v>网贷还本</v>
          </cell>
        </row>
        <row r="3067">
          <cell r="R3067" t="str">
            <v>招行信用卡</v>
          </cell>
          <cell r="S3067">
            <v>2800</v>
          </cell>
        </row>
        <row r="3068">
          <cell r="M3068" t="str">
            <v>社交</v>
          </cell>
        </row>
        <row r="3068">
          <cell r="R3068" t="str">
            <v>社交</v>
          </cell>
          <cell r="S3068">
            <v>-1</v>
          </cell>
        </row>
        <row r="3069">
          <cell r="M3069" t="str">
            <v>早餐</v>
          </cell>
        </row>
        <row r="3069">
          <cell r="R3069" t="str">
            <v>早餐</v>
          </cell>
          <cell r="S3069">
            <v>7</v>
          </cell>
        </row>
        <row r="3070">
          <cell r="M3070" t="str">
            <v>早餐</v>
          </cell>
        </row>
        <row r="3070">
          <cell r="R3070" t="str">
            <v>早餐</v>
          </cell>
          <cell r="S3070">
            <v>5</v>
          </cell>
        </row>
        <row r="3071">
          <cell r="M3071" t="str">
            <v>日用</v>
          </cell>
        </row>
        <row r="3071">
          <cell r="R3071" t="str">
            <v>日用</v>
          </cell>
          <cell r="S3071">
            <v>39.8</v>
          </cell>
        </row>
        <row r="3072">
          <cell r="M3072" t="str">
            <v>副入</v>
          </cell>
        </row>
        <row r="3072">
          <cell r="S3072">
            <v>-1300</v>
          </cell>
        </row>
        <row r="3073">
          <cell r="M3073" t="str">
            <v>副投</v>
          </cell>
        </row>
        <row r="3073">
          <cell r="R3073" t="str">
            <v>流量费</v>
          </cell>
          <cell r="S3073">
            <v>4.51</v>
          </cell>
        </row>
        <row r="3074">
          <cell r="M3074" t="str">
            <v>早餐</v>
          </cell>
        </row>
        <row r="3074">
          <cell r="R3074" t="str">
            <v>早餐</v>
          </cell>
          <cell r="S3074">
            <v>23</v>
          </cell>
        </row>
        <row r="3075">
          <cell r="M3075" t="str">
            <v>会员</v>
          </cell>
        </row>
        <row r="3075">
          <cell r="R3075" t="str">
            <v>会员</v>
          </cell>
          <cell r="S3075">
            <v>15</v>
          </cell>
        </row>
        <row r="3076">
          <cell r="M3076" t="str">
            <v>会员</v>
          </cell>
        </row>
        <row r="3076">
          <cell r="R3076" t="str">
            <v>会员</v>
          </cell>
          <cell r="S3076">
            <v>8</v>
          </cell>
        </row>
        <row r="3077">
          <cell r="M3077" t="str">
            <v>网贷还本</v>
          </cell>
        </row>
        <row r="3077">
          <cell r="R3077" t="str">
            <v>招行信用卡</v>
          </cell>
          <cell r="S3077">
            <v>2363</v>
          </cell>
        </row>
        <row r="3078">
          <cell r="M3078" t="str">
            <v>日用</v>
          </cell>
        </row>
        <row r="3078">
          <cell r="R3078" t="str">
            <v>日用</v>
          </cell>
          <cell r="S3078">
            <v>21</v>
          </cell>
        </row>
        <row r="3079">
          <cell r="M3079" t="str">
            <v>早餐</v>
          </cell>
        </row>
        <row r="3079">
          <cell r="R3079" t="str">
            <v>早餐</v>
          </cell>
          <cell r="S3079">
            <v>4</v>
          </cell>
        </row>
        <row r="3080">
          <cell r="M3080" t="str">
            <v>早餐</v>
          </cell>
        </row>
        <row r="3080">
          <cell r="R3080" t="str">
            <v>早餐</v>
          </cell>
          <cell r="S3080">
            <v>100</v>
          </cell>
        </row>
        <row r="3081">
          <cell r="M3081" t="str">
            <v>日用</v>
          </cell>
        </row>
        <row r="3081">
          <cell r="R3081" t="str">
            <v>日用</v>
          </cell>
          <cell r="S3081">
            <v>21.68</v>
          </cell>
        </row>
        <row r="3082">
          <cell r="M3082" t="str">
            <v>早餐</v>
          </cell>
        </row>
        <row r="3082">
          <cell r="R3082" t="str">
            <v>早餐</v>
          </cell>
          <cell r="S3082">
            <v>12</v>
          </cell>
        </row>
        <row r="3083">
          <cell r="M3083" t="str">
            <v>日用</v>
          </cell>
        </row>
        <row r="3083">
          <cell r="R3083" t="str">
            <v>日用</v>
          </cell>
          <cell r="S3083">
            <v>20</v>
          </cell>
        </row>
        <row r="3084">
          <cell r="M3084" t="str">
            <v>早餐</v>
          </cell>
        </row>
        <row r="3084">
          <cell r="R3084" t="str">
            <v>早餐</v>
          </cell>
          <cell r="S3084">
            <v>6</v>
          </cell>
        </row>
        <row r="3085">
          <cell r="M3085" t="str">
            <v>晚餐</v>
          </cell>
        </row>
        <row r="3085">
          <cell r="R3085" t="str">
            <v>晚餐</v>
          </cell>
          <cell r="S3085">
            <v>15</v>
          </cell>
        </row>
        <row r="3086">
          <cell r="M3086" t="str">
            <v>晚餐</v>
          </cell>
        </row>
        <row r="3086">
          <cell r="R3086" t="str">
            <v>晚餐</v>
          </cell>
          <cell r="S3086">
            <v>10</v>
          </cell>
        </row>
        <row r="3087">
          <cell r="M3087" t="str">
            <v>日用</v>
          </cell>
        </row>
        <row r="3087">
          <cell r="R3087" t="str">
            <v>日用</v>
          </cell>
          <cell r="S3087">
            <v>20</v>
          </cell>
        </row>
        <row r="3088">
          <cell r="M3088" t="str">
            <v>早餐</v>
          </cell>
        </row>
        <row r="3088">
          <cell r="R3088" t="str">
            <v>早餐</v>
          </cell>
          <cell r="S3088">
            <v>12</v>
          </cell>
        </row>
        <row r="3089">
          <cell r="M3089" t="str">
            <v>晚餐</v>
          </cell>
        </row>
        <row r="3089">
          <cell r="R3089" t="str">
            <v>晚餐</v>
          </cell>
          <cell r="S3089">
            <v>14</v>
          </cell>
        </row>
        <row r="3090">
          <cell r="M3090" t="str">
            <v>日用</v>
          </cell>
        </row>
        <row r="3090">
          <cell r="R3090" t="str">
            <v>日用</v>
          </cell>
          <cell r="S3090">
            <v>2</v>
          </cell>
        </row>
        <row r="3091">
          <cell r="M3091" t="str">
            <v>日用</v>
          </cell>
        </row>
        <row r="3091">
          <cell r="R3091" t="str">
            <v>日用</v>
          </cell>
          <cell r="S3091">
            <v>10</v>
          </cell>
        </row>
        <row r="3092">
          <cell r="M3092" t="str">
            <v>早餐</v>
          </cell>
        </row>
        <row r="3092">
          <cell r="R3092" t="str">
            <v>早餐</v>
          </cell>
          <cell r="S3092">
            <v>13</v>
          </cell>
        </row>
        <row r="3093">
          <cell r="M3093" t="str">
            <v>副投</v>
          </cell>
        </row>
        <row r="3093">
          <cell r="R3093" t="str">
            <v>打印费</v>
          </cell>
          <cell r="S3093">
            <v>13</v>
          </cell>
        </row>
        <row r="3094">
          <cell r="M3094" t="str">
            <v>日用</v>
          </cell>
        </row>
        <row r="3094">
          <cell r="R3094" t="str">
            <v>日用</v>
          </cell>
          <cell r="S3094">
            <v>28</v>
          </cell>
        </row>
        <row r="3095">
          <cell r="M3095" t="str">
            <v>日用</v>
          </cell>
        </row>
        <row r="3095">
          <cell r="R3095" t="str">
            <v>日用</v>
          </cell>
          <cell r="S3095">
            <v>4</v>
          </cell>
        </row>
        <row r="3096">
          <cell r="M3096" t="str">
            <v>早餐</v>
          </cell>
        </row>
        <row r="3096">
          <cell r="R3096" t="str">
            <v>早餐</v>
          </cell>
          <cell r="S3096">
            <v>18</v>
          </cell>
        </row>
        <row r="3097">
          <cell r="M3097" t="str">
            <v>日用</v>
          </cell>
        </row>
        <row r="3097">
          <cell r="R3097" t="str">
            <v>日用</v>
          </cell>
          <cell r="S3097">
            <v>-58.9</v>
          </cell>
        </row>
        <row r="3098">
          <cell r="M3098" t="str">
            <v>晚餐</v>
          </cell>
        </row>
        <row r="3098">
          <cell r="R3098" t="str">
            <v>晚餐</v>
          </cell>
          <cell r="S3098">
            <v>14</v>
          </cell>
        </row>
        <row r="3099">
          <cell r="M3099" t="str">
            <v>出行</v>
          </cell>
        </row>
        <row r="3099">
          <cell r="R3099" t="str">
            <v>出行</v>
          </cell>
          <cell r="S3099">
            <v>10.7</v>
          </cell>
        </row>
        <row r="3100">
          <cell r="M3100" t="str">
            <v>早餐</v>
          </cell>
        </row>
        <row r="3100">
          <cell r="R3100" t="str">
            <v>早餐</v>
          </cell>
          <cell r="S3100">
            <v>12</v>
          </cell>
        </row>
        <row r="3101">
          <cell r="M3101" t="str">
            <v>副投</v>
          </cell>
        </row>
        <row r="3101">
          <cell r="R3101" t="str">
            <v>打印费</v>
          </cell>
          <cell r="S3101">
            <v>18</v>
          </cell>
        </row>
        <row r="3102">
          <cell r="M3102" t="str">
            <v>副投</v>
          </cell>
        </row>
        <row r="3102">
          <cell r="R3102" t="str">
            <v>打印费</v>
          </cell>
          <cell r="S3102">
            <v>9</v>
          </cell>
        </row>
        <row r="3103">
          <cell r="M3103" t="str">
            <v>副入</v>
          </cell>
        </row>
        <row r="3103">
          <cell r="S3103">
            <v>-3</v>
          </cell>
        </row>
        <row r="3104">
          <cell r="M3104" t="str">
            <v>副入</v>
          </cell>
        </row>
        <row r="3104">
          <cell r="S3104">
            <v>-3</v>
          </cell>
        </row>
        <row r="3105">
          <cell r="M3105" t="str">
            <v>自医</v>
          </cell>
        </row>
        <row r="3105">
          <cell r="R3105" t="str">
            <v>自医</v>
          </cell>
          <cell r="S3105">
            <v>6.5</v>
          </cell>
        </row>
        <row r="3106">
          <cell r="M3106" t="str">
            <v>出行</v>
          </cell>
        </row>
        <row r="3106">
          <cell r="R3106" t="str">
            <v>出行</v>
          </cell>
          <cell r="S3106">
            <v>6.2</v>
          </cell>
        </row>
        <row r="3107">
          <cell r="M3107" t="str">
            <v>自医</v>
          </cell>
        </row>
        <row r="3107">
          <cell r="R3107" t="str">
            <v>自医</v>
          </cell>
          <cell r="S3107">
            <v>207.3</v>
          </cell>
        </row>
        <row r="3108">
          <cell r="M3108" t="str">
            <v>日用</v>
          </cell>
        </row>
        <row r="3108">
          <cell r="R3108" t="str">
            <v>日用</v>
          </cell>
          <cell r="S3108">
            <v>1</v>
          </cell>
        </row>
        <row r="3109">
          <cell r="M3109" t="str">
            <v>小资</v>
          </cell>
        </row>
        <row r="3109">
          <cell r="R3109" t="str">
            <v>吃喝</v>
          </cell>
          <cell r="S3109">
            <v>78</v>
          </cell>
        </row>
        <row r="3110">
          <cell r="M3110" t="str">
            <v>早餐</v>
          </cell>
        </row>
        <row r="3110">
          <cell r="R3110" t="str">
            <v>早餐</v>
          </cell>
          <cell r="S3110">
            <v>27.4</v>
          </cell>
        </row>
        <row r="3111">
          <cell r="M3111" t="str">
            <v>小资</v>
          </cell>
        </row>
        <row r="3111">
          <cell r="R3111" t="str">
            <v>城内</v>
          </cell>
          <cell r="S3111">
            <v>21.5</v>
          </cell>
        </row>
        <row r="3112">
          <cell r="M3112" t="str">
            <v>晚餐</v>
          </cell>
        </row>
        <row r="3112">
          <cell r="R3112" t="str">
            <v>晚餐</v>
          </cell>
          <cell r="S3112">
            <v>12.5</v>
          </cell>
        </row>
        <row r="3113">
          <cell r="M3113" t="str">
            <v>出行</v>
          </cell>
        </row>
        <row r="3113">
          <cell r="R3113" t="str">
            <v>出行</v>
          </cell>
          <cell r="S3113">
            <v>9.5</v>
          </cell>
        </row>
        <row r="3114">
          <cell r="M3114" t="str">
            <v>出行</v>
          </cell>
        </row>
        <row r="3114">
          <cell r="R3114" t="str">
            <v>出行</v>
          </cell>
          <cell r="S3114">
            <v>2.18</v>
          </cell>
        </row>
        <row r="3115">
          <cell r="M3115" t="str">
            <v>早餐</v>
          </cell>
        </row>
        <row r="3115">
          <cell r="R3115" t="str">
            <v>早餐</v>
          </cell>
          <cell r="S3115">
            <v>5</v>
          </cell>
        </row>
        <row r="3116">
          <cell r="M3116" t="str">
            <v>早餐</v>
          </cell>
        </row>
        <row r="3116">
          <cell r="R3116" t="str">
            <v>早餐</v>
          </cell>
          <cell r="S3116">
            <v>20</v>
          </cell>
        </row>
        <row r="3117">
          <cell r="M3117" t="str">
            <v>晚餐</v>
          </cell>
        </row>
        <row r="3117">
          <cell r="R3117" t="str">
            <v>晚餐</v>
          </cell>
          <cell r="S3117">
            <v>13</v>
          </cell>
        </row>
        <row r="3118">
          <cell r="M3118" t="str">
            <v>日用</v>
          </cell>
        </row>
        <row r="3118">
          <cell r="R3118" t="str">
            <v>日用</v>
          </cell>
          <cell r="S3118">
            <v>3</v>
          </cell>
        </row>
        <row r="3119">
          <cell r="M3119" t="str">
            <v>副入</v>
          </cell>
        </row>
        <row r="3119">
          <cell r="S3119">
            <v>-3</v>
          </cell>
        </row>
        <row r="3120">
          <cell r="M3120" t="str">
            <v>副入</v>
          </cell>
        </row>
        <row r="3120">
          <cell r="S3120">
            <v>-2</v>
          </cell>
        </row>
        <row r="3121">
          <cell r="M3121" t="str">
            <v>副投</v>
          </cell>
        </row>
        <row r="3121">
          <cell r="R3121" t="str">
            <v>打印费</v>
          </cell>
          <cell r="S3121">
            <v>8</v>
          </cell>
        </row>
        <row r="3122">
          <cell r="M3122" t="str">
            <v>早餐</v>
          </cell>
        </row>
        <row r="3122">
          <cell r="R3122" t="str">
            <v>早餐</v>
          </cell>
          <cell r="S3122">
            <v>12</v>
          </cell>
        </row>
        <row r="3123">
          <cell r="M3123" t="str">
            <v>自医</v>
          </cell>
        </row>
        <row r="3123">
          <cell r="R3123" t="str">
            <v>自医</v>
          </cell>
          <cell r="S3123">
            <v>20.84</v>
          </cell>
        </row>
        <row r="3124">
          <cell r="M3124" t="str">
            <v>日用</v>
          </cell>
        </row>
        <row r="3124">
          <cell r="R3124" t="str">
            <v>日用</v>
          </cell>
          <cell r="S3124">
            <v>9</v>
          </cell>
        </row>
        <row r="3125">
          <cell r="M3125" t="str">
            <v>日用</v>
          </cell>
        </row>
        <row r="3125">
          <cell r="R3125" t="str">
            <v>日用</v>
          </cell>
          <cell r="S3125">
            <v>-33.8</v>
          </cell>
        </row>
        <row r="3126">
          <cell r="M3126" t="str">
            <v>晚餐</v>
          </cell>
        </row>
        <row r="3126">
          <cell r="R3126" t="str">
            <v>晚餐</v>
          </cell>
          <cell r="S3126">
            <v>100</v>
          </cell>
        </row>
        <row r="3127">
          <cell r="M3127" t="str">
            <v>早餐</v>
          </cell>
        </row>
        <row r="3127">
          <cell r="R3127" t="str">
            <v>早餐</v>
          </cell>
          <cell r="S3127">
            <v>13</v>
          </cell>
        </row>
        <row r="3128">
          <cell r="M3128" t="str">
            <v>出行</v>
          </cell>
        </row>
        <row r="3128">
          <cell r="S3128">
            <v>2</v>
          </cell>
        </row>
        <row r="3129">
          <cell r="M3129" t="str">
            <v>自医</v>
          </cell>
        </row>
        <row r="3129">
          <cell r="S3129">
            <v>5.5</v>
          </cell>
        </row>
        <row r="3130">
          <cell r="M3130" t="str">
            <v>自医</v>
          </cell>
        </row>
        <row r="3130">
          <cell r="S3130">
            <v>12.6</v>
          </cell>
        </row>
        <row r="3131">
          <cell r="M3131" t="str">
            <v>日用</v>
          </cell>
        </row>
        <row r="3131">
          <cell r="R3131" t="str">
            <v>日用</v>
          </cell>
          <cell r="S3131">
            <v>42.44</v>
          </cell>
        </row>
        <row r="3132">
          <cell r="M3132" t="str">
            <v>出行</v>
          </cell>
        </row>
        <row r="3132">
          <cell r="R3132" t="str">
            <v>出行</v>
          </cell>
          <cell r="S3132">
            <v>2</v>
          </cell>
        </row>
        <row r="3133">
          <cell r="M3133" t="str">
            <v>副投</v>
          </cell>
        </row>
        <row r="3133">
          <cell r="R3133" t="str">
            <v>流量费</v>
          </cell>
          <cell r="S3133">
            <v>30</v>
          </cell>
        </row>
        <row r="3134">
          <cell r="M3134" t="str">
            <v>副投</v>
          </cell>
        </row>
        <row r="3134">
          <cell r="R3134" t="str">
            <v>流量费</v>
          </cell>
          <cell r="S3134">
            <v>39.04</v>
          </cell>
        </row>
        <row r="3135">
          <cell r="M3135" t="str">
            <v>早餐</v>
          </cell>
        </row>
        <row r="3135">
          <cell r="R3135" t="str">
            <v>早餐</v>
          </cell>
          <cell r="S3135">
            <v>14</v>
          </cell>
        </row>
        <row r="3136">
          <cell r="M3136" t="str">
            <v>日用</v>
          </cell>
        </row>
        <row r="3136">
          <cell r="R3136" t="str">
            <v>日用</v>
          </cell>
          <cell r="S3136">
            <v>2.99</v>
          </cell>
        </row>
        <row r="3137">
          <cell r="M3137" t="str">
            <v>晚餐</v>
          </cell>
        </row>
        <row r="3137">
          <cell r="R3137" t="str">
            <v>晚餐</v>
          </cell>
          <cell r="S3137">
            <v>15</v>
          </cell>
        </row>
        <row r="3138">
          <cell r="M3138" t="str">
            <v>早餐</v>
          </cell>
        </row>
        <row r="3138">
          <cell r="R3138" t="str">
            <v>早餐</v>
          </cell>
          <cell r="S3138">
            <v>12</v>
          </cell>
        </row>
        <row r="3139">
          <cell r="M3139" t="str">
            <v>晚餐</v>
          </cell>
        </row>
        <row r="3139">
          <cell r="R3139" t="str">
            <v>晚餐</v>
          </cell>
          <cell r="S3139">
            <v>15</v>
          </cell>
        </row>
        <row r="3140">
          <cell r="M3140" t="str">
            <v>副投</v>
          </cell>
        </row>
        <row r="3140">
          <cell r="R3140" t="str">
            <v>流量费</v>
          </cell>
          <cell r="S3140">
            <v>10</v>
          </cell>
        </row>
        <row r="3141">
          <cell r="M3141" t="str">
            <v>副投</v>
          </cell>
        </row>
        <row r="3141">
          <cell r="R3141" t="str">
            <v>流量费</v>
          </cell>
          <cell r="S3141">
            <v>10</v>
          </cell>
        </row>
        <row r="3142">
          <cell r="M3142" t="str">
            <v>早餐</v>
          </cell>
        </row>
        <row r="3142">
          <cell r="R3142" t="str">
            <v>早餐</v>
          </cell>
          <cell r="S3142">
            <v>14</v>
          </cell>
        </row>
        <row r="3143">
          <cell r="M3143" t="str">
            <v>副投</v>
          </cell>
        </row>
        <row r="3143">
          <cell r="R3143" t="str">
            <v>流量费</v>
          </cell>
          <cell r="S3143">
            <v>10</v>
          </cell>
        </row>
        <row r="3144">
          <cell r="M3144" t="str">
            <v>副投</v>
          </cell>
        </row>
        <row r="3144">
          <cell r="R3144" t="str">
            <v>流量费</v>
          </cell>
          <cell r="S3144">
            <v>95</v>
          </cell>
        </row>
        <row r="3145">
          <cell r="M3145" t="str">
            <v>晚餐</v>
          </cell>
        </row>
        <row r="3145">
          <cell r="R3145" t="str">
            <v>晚餐</v>
          </cell>
          <cell r="S3145">
            <v>12</v>
          </cell>
        </row>
        <row r="3146">
          <cell r="M3146" t="str">
            <v>副投</v>
          </cell>
        </row>
        <row r="3146">
          <cell r="R3146" t="str">
            <v>软件费</v>
          </cell>
          <cell r="S3146">
            <v>30.03</v>
          </cell>
        </row>
        <row r="3147">
          <cell r="M3147" t="str">
            <v>养育</v>
          </cell>
        </row>
        <row r="3147">
          <cell r="R3147" t="str">
            <v>养育</v>
          </cell>
          <cell r="S3147">
            <v>109.8</v>
          </cell>
        </row>
        <row r="3148">
          <cell r="M3148" t="str">
            <v>早餐</v>
          </cell>
        </row>
        <row r="3148">
          <cell r="R3148" t="str">
            <v>早餐</v>
          </cell>
          <cell r="S3148">
            <v>18</v>
          </cell>
        </row>
        <row r="3149">
          <cell r="M3149" t="str">
            <v>早餐</v>
          </cell>
        </row>
        <row r="3149">
          <cell r="R3149" t="str">
            <v>早餐</v>
          </cell>
          <cell r="S3149">
            <v>3</v>
          </cell>
        </row>
        <row r="3150">
          <cell r="M3150" t="str">
            <v>早餐</v>
          </cell>
        </row>
        <row r="3150">
          <cell r="R3150" t="str">
            <v>早餐</v>
          </cell>
          <cell r="S3150">
            <v>12</v>
          </cell>
        </row>
        <row r="3151">
          <cell r="M3151" t="str">
            <v>早餐</v>
          </cell>
        </row>
        <row r="3151">
          <cell r="R3151" t="str">
            <v>早餐</v>
          </cell>
          <cell r="S3151">
            <v>12</v>
          </cell>
        </row>
        <row r="3152">
          <cell r="M3152" t="str">
            <v>日用</v>
          </cell>
        </row>
        <row r="3152">
          <cell r="R3152" t="str">
            <v>日用</v>
          </cell>
          <cell r="S3152">
            <v>20</v>
          </cell>
        </row>
        <row r="3153">
          <cell r="M3153" t="str">
            <v>话费</v>
          </cell>
        </row>
        <row r="3153">
          <cell r="R3153" t="str">
            <v>话费</v>
          </cell>
          <cell r="S3153">
            <v>100</v>
          </cell>
        </row>
        <row r="3154">
          <cell r="M3154" t="str">
            <v>话费</v>
          </cell>
        </row>
        <row r="3154">
          <cell r="R3154" t="str">
            <v>话费</v>
          </cell>
          <cell r="S3154">
            <v>50</v>
          </cell>
        </row>
        <row r="3155">
          <cell r="M3155" t="str">
            <v>话费</v>
          </cell>
        </row>
        <row r="3155">
          <cell r="R3155" t="str">
            <v>话费</v>
          </cell>
          <cell r="S3155">
            <v>20</v>
          </cell>
        </row>
        <row r="3156">
          <cell r="M3156" t="str">
            <v>话费</v>
          </cell>
        </row>
        <row r="3156">
          <cell r="R3156" t="str">
            <v>话费</v>
          </cell>
          <cell r="S3156">
            <v>20</v>
          </cell>
        </row>
        <row r="3157">
          <cell r="M3157" t="str">
            <v>网贷还本</v>
          </cell>
        </row>
        <row r="3157">
          <cell r="R3157" t="str">
            <v>网贷还本</v>
          </cell>
          <cell r="S3157">
            <v>802</v>
          </cell>
        </row>
        <row r="3158">
          <cell r="M3158" t="str">
            <v>网贷还本</v>
          </cell>
        </row>
        <row r="3158">
          <cell r="R3158" t="str">
            <v>网贷还本</v>
          </cell>
          <cell r="S3158">
            <v>-802</v>
          </cell>
        </row>
        <row r="3159">
          <cell r="M3159" t="str">
            <v>副投</v>
          </cell>
        </row>
        <row r="3159">
          <cell r="R3159" t="str">
            <v>流量费</v>
          </cell>
          <cell r="S3159">
            <v>95</v>
          </cell>
        </row>
        <row r="3160">
          <cell r="M3160" t="str">
            <v>会员</v>
          </cell>
        </row>
        <row r="3160">
          <cell r="S3160">
            <v>6</v>
          </cell>
        </row>
        <row r="3161">
          <cell r="M3161" t="str">
            <v>副投</v>
          </cell>
        </row>
        <row r="3161">
          <cell r="R3161" t="str">
            <v>流量费</v>
          </cell>
          <cell r="S3161">
            <v>1</v>
          </cell>
        </row>
        <row r="3162">
          <cell r="M3162" t="str">
            <v>晚餐</v>
          </cell>
        </row>
        <row r="3162">
          <cell r="S3162">
            <v>10</v>
          </cell>
        </row>
        <row r="3163">
          <cell r="M3163" t="str">
            <v>晚餐</v>
          </cell>
        </row>
        <row r="3163">
          <cell r="S3163">
            <v>12</v>
          </cell>
        </row>
        <row r="3164">
          <cell r="M3164" t="str">
            <v>早餐</v>
          </cell>
        </row>
        <row r="3164">
          <cell r="S3164">
            <v>14</v>
          </cell>
        </row>
        <row r="3165">
          <cell r="M3165" t="str">
            <v>日用</v>
          </cell>
        </row>
        <row r="3165">
          <cell r="S3165">
            <v>38.9</v>
          </cell>
        </row>
        <row r="3166">
          <cell r="M3166" t="str">
            <v>会员</v>
          </cell>
        </row>
        <row r="3166">
          <cell r="S3166">
            <v>88.8</v>
          </cell>
        </row>
        <row r="3167">
          <cell r="M3167" t="str">
            <v>晚餐</v>
          </cell>
        </row>
        <row r="3167">
          <cell r="S3167">
            <v>12</v>
          </cell>
        </row>
        <row r="3168">
          <cell r="M3168" t="str">
            <v>社交</v>
          </cell>
        </row>
        <row r="3168">
          <cell r="S3168">
            <v>126</v>
          </cell>
        </row>
        <row r="3169">
          <cell r="M3169" t="str">
            <v>社交</v>
          </cell>
        </row>
        <row r="3169">
          <cell r="S3169">
            <v>70</v>
          </cell>
        </row>
        <row r="3170">
          <cell r="M3170" t="str">
            <v>早餐</v>
          </cell>
        </row>
        <row r="3170">
          <cell r="S3170">
            <v>4</v>
          </cell>
        </row>
        <row r="3171">
          <cell r="M3171" t="str">
            <v>日用</v>
          </cell>
        </row>
        <row r="3171">
          <cell r="S3171">
            <v>15.1</v>
          </cell>
        </row>
        <row r="3172">
          <cell r="M3172" t="str">
            <v>网贷还本</v>
          </cell>
        </row>
        <row r="3172">
          <cell r="R3172" t="str">
            <v>招行信用卡</v>
          </cell>
          <cell r="S3172">
            <v>802</v>
          </cell>
        </row>
        <row r="3173">
          <cell r="M3173" t="str">
            <v>日用</v>
          </cell>
        </row>
        <row r="3173">
          <cell r="S3173">
            <v>-15.1</v>
          </cell>
        </row>
        <row r="3174">
          <cell r="M3174" t="str">
            <v>自医</v>
          </cell>
        </row>
        <row r="3174">
          <cell r="S3174">
            <v>-252.74</v>
          </cell>
        </row>
        <row r="3175">
          <cell r="M3175" t="str">
            <v>日用</v>
          </cell>
        </row>
        <row r="3175">
          <cell r="S3175">
            <v>-47.26</v>
          </cell>
        </row>
        <row r="3176">
          <cell r="M3176" t="str">
            <v>风险金</v>
          </cell>
        </row>
        <row r="3176">
          <cell r="S3176">
            <v>300</v>
          </cell>
        </row>
        <row r="3177">
          <cell r="M3177" t="str">
            <v>会员</v>
          </cell>
        </row>
        <row r="3177">
          <cell r="S3177">
            <v>165</v>
          </cell>
        </row>
        <row r="3178">
          <cell r="M3178" t="str">
            <v>会员</v>
          </cell>
        </row>
        <row r="3178">
          <cell r="S3178">
            <v>9.99</v>
          </cell>
        </row>
        <row r="3179">
          <cell r="M3179" t="str">
            <v>日用</v>
          </cell>
        </row>
        <row r="3179">
          <cell r="S3179">
            <v>25.17</v>
          </cell>
        </row>
        <row r="3180">
          <cell r="M3180" t="str">
            <v>晚餐</v>
          </cell>
        </row>
        <row r="3180">
          <cell r="S3180">
            <v>15</v>
          </cell>
        </row>
        <row r="3181">
          <cell r="M3181" t="str">
            <v>副入</v>
          </cell>
        </row>
        <row r="3181">
          <cell r="R3181" t="str">
            <v>开票收入</v>
          </cell>
          <cell r="S3181">
            <v>-90</v>
          </cell>
        </row>
        <row r="3182">
          <cell r="M3182" t="str">
            <v>早餐</v>
          </cell>
        </row>
        <row r="3182">
          <cell r="S3182">
            <v>12</v>
          </cell>
        </row>
        <row r="3183">
          <cell r="M3183" t="str">
            <v>日用</v>
          </cell>
        </row>
        <row r="3183">
          <cell r="S3183">
            <v>2</v>
          </cell>
        </row>
        <row r="3184">
          <cell r="M3184" t="str">
            <v>早餐</v>
          </cell>
        </row>
        <row r="3184">
          <cell r="S3184">
            <v>4</v>
          </cell>
        </row>
        <row r="3185">
          <cell r="M3185" t="str">
            <v>社交</v>
          </cell>
        </row>
        <row r="3185">
          <cell r="S3185">
            <v>178</v>
          </cell>
        </row>
        <row r="3186">
          <cell r="M3186" t="str">
            <v>出行</v>
          </cell>
        </row>
        <row r="3186">
          <cell r="S3186">
            <v>16</v>
          </cell>
        </row>
        <row r="3187">
          <cell r="M3187" t="str">
            <v>社交</v>
          </cell>
        </row>
        <row r="3187">
          <cell r="S3187">
            <v>-10</v>
          </cell>
        </row>
        <row r="3188">
          <cell r="M3188" t="str">
            <v>早餐</v>
          </cell>
        </row>
        <row r="3188">
          <cell r="S3188">
            <v>3</v>
          </cell>
        </row>
        <row r="3189">
          <cell r="M3189" t="str">
            <v>日用</v>
          </cell>
        </row>
        <row r="3189">
          <cell r="S3189">
            <v>2</v>
          </cell>
        </row>
        <row r="3190">
          <cell r="M3190" t="str">
            <v>早餐</v>
          </cell>
        </row>
        <row r="3190">
          <cell r="S3190">
            <v>13</v>
          </cell>
        </row>
        <row r="3191">
          <cell r="M3191" t="str">
            <v>晚餐</v>
          </cell>
        </row>
        <row r="3191">
          <cell r="S3191">
            <v>28</v>
          </cell>
        </row>
        <row r="3192">
          <cell r="M3192" t="str">
            <v>副投</v>
          </cell>
        </row>
        <row r="3192">
          <cell r="R3192" t="str">
            <v>流量费</v>
          </cell>
          <cell r="S3192">
            <v>10</v>
          </cell>
        </row>
        <row r="3193">
          <cell r="M3193" t="str">
            <v>副投</v>
          </cell>
        </row>
        <row r="3193">
          <cell r="R3193" t="str">
            <v>软件费</v>
          </cell>
          <cell r="S3193">
            <v>23.82</v>
          </cell>
        </row>
        <row r="3194">
          <cell r="M3194" t="str">
            <v>早餐</v>
          </cell>
        </row>
        <row r="3194">
          <cell r="S3194">
            <v>12</v>
          </cell>
        </row>
        <row r="3195">
          <cell r="M3195" t="str">
            <v>日用</v>
          </cell>
        </row>
        <row r="3195">
          <cell r="S3195">
            <v>28.9</v>
          </cell>
        </row>
        <row r="3196">
          <cell r="M3196" t="str">
            <v>日用</v>
          </cell>
        </row>
        <row r="3196">
          <cell r="S3196">
            <v>10.9</v>
          </cell>
        </row>
        <row r="3197">
          <cell r="M3197" t="str">
            <v>晚餐</v>
          </cell>
        </row>
        <row r="3197">
          <cell r="S3197">
            <v>15</v>
          </cell>
        </row>
        <row r="3198">
          <cell r="M3198" t="str">
            <v>出行</v>
          </cell>
        </row>
        <row r="3198">
          <cell r="S3198">
            <v>17.8</v>
          </cell>
        </row>
        <row r="3199">
          <cell r="M3199" t="str">
            <v>日用</v>
          </cell>
        </row>
        <row r="3199">
          <cell r="S3199">
            <v>-0.25</v>
          </cell>
        </row>
        <row r="3200">
          <cell r="M3200" t="str">
            <v>房租</v>
          </cell>
        </row>
        <row r="3200">
          <cell r="S3200">
            <v>120</v>
          </cell>
        </row>
        <row r="3201">
          <cell r="M3201" t="str">
            <v>早餐</v>
          </cell>
        </row>
        <row r="3201">
          <cell r="S3201">
            <v>23.4</v>
          </cell>
        </row>
        <row r="3202">
          <cell r="M3202" t="str">
            <v>晚餐</v>
          </cell>
        </row>
        <row r="3202">
          <cell r="S3202">
            <v>15</v>
          </cell>
        </row>
        <row r="3203">
          <cell r="M3203" t="str">
            <v>晚餐</v>
          </cell>
        </row>
        <row r="3203">
          <cell r="S3203">
            <v>1</v>
          </cell>
        </row>
        <row r="3204">
          <cell r="M3204" t="str">
            <v>早餐</v>
          </cell>
        </row>
        <row r="3204">
          <cell r="S3204">
            <v>14</v>
          </cell>
        </row>
        <row r="3205">
          <cell r="M3205" t="str">
            <v>日用</v>
          </cell>
        </row>
        <row r="3205">
          <cell r="S3205">
            <v>2</v>
          </cell>
        </row>
        <row r="3206">
          <cell r="M3206" t="str">
            <v>晚餐</v>
          </cell>
        </row>
        <row r="3206">
          <cell r="S3206">
            <v>36</v>
          </cell>
        </row>
        <row r="3207">
          <cell r="M3207" t="str">
            <v>小资</v>
          </cell>
        </row>
        <row r="3207">
          <cell r="R3207" t="str">
            <v>城内</v>
          </cell>
          <cell r="S3207">
            <v>50</v>
          </cell>
        </row>
        <row r="3208">
          <cell r="M3208" t="str">
            <v>早餐</v>
          </cell>
        </row>
        <row r="3208">
          <cell r="S3208">
            <v>22.06</v>
          </cell>
        </row>
        <row r="3209">
          <cell r="M3209" t="str">
            <v>日用</v>
          </cell>
        </row>
        <row r="3209">
          <cell r="S3209">
            <v>0.8</v>
          </cell>
        </row>
        <row r="3210">
          <cell r="M3210" t="str">
            <v>小资</v>
          </cell>
        </row>
        <row r="3210">
          <cell r="R3210" t="str">
            <v>女人</v>
          </cell>
          <cell r="S3210">
            <v>800</v>
          </cell>
        </row>
        <row r="3211">
          <cell r="M3211" t="str">
            <v>早餐</v>
          </cell>
        </row>
        <row r="3211">
          <cell r="S3211">
            <v>-22.06</v>
          </cell>
        </row>
        <row r="3212">
          <cell r="M3212" t="str">
            <v>早餐</v>
          </cell>
        </row>
        <row r="3212">
          <cell r="S3212">
            <v>24.02</v>
          </cell>
        </row>
        <row r="3213">
          <cell r="M3213" t="str">
            <v>房租</v>
          </cell>
        </row>
        <row r="3213">
          <cell r="S3213">
            <v>1200</v>
          </cell>
        </row>
        <row r="3214">
          <cell r="M3214" t="str">
            <v>早餐</v>
          </cell>
        </row>
        <row r="3214">
          <cell r="S3214">
            <v>12</v>
          </cell>
        </row>
        <row r="3215">
          <cell r="M3215" t="str">
            <v>晚餐</v>
          </cell>
        </row>
        <row r="3215">
          <cell r="S3215">
            <v>12</v>
          </cell>
        </row>
        <row r="3216">
          <cell r="M3216" t="str">
            <v>早餐</v>
          </cell>
        </row>
        <row r="3216">
          <cell r="S3216">
            <v>14</v>
          </cell>
        </row>
        <row r="3217">
          <cell r="M3217" t="str">
            <v>日用</v>
          </cell>
        </row>
        <row r="3217">
          <cell r="S3217">
            <v>13.8</v>
          </cell>
        </row>
        <row r="3218">
          <cell r="M3218" t="str">
            <v>日用</v>
          </cell>
        </row>
        <row r="3218">
          <cell r="S3218">
            <v>42.63</v>
          </cell>
        </row>
        <row r="3219">
          <cell r="M3219" t="str">
            <v>日用</v>
          </cell>
        </row>
        <row r="3219">
          <cell r="S3219">
            <v>22.28</v>
          </cell>
        </row>
        <row r="3220">
          <cell r="M3220" t="str">
            <v>日用</v>
          </cell>
        </row>
        <row r="3220">
          <cell r="S3220">
            <v>-0.33</v>
          </cell>
        </row>
        <row r="3221">
          <cell r="M3221" t="str">
            <v>晚餐</v>
          </cell>
        </row>
        <row r="3221">
          <cell r="S3221">
            <v>1</v>
          </cell>
        </row>
        <row r="3222">
          <cell r="M3222" t="str">
            <v>早餐</v>
          </cell>
        </row>
        <row r="3222">
          <cell r="S3222">
            <v>13</v>
          </cell>
        </row>
        <row r="3223">
          <cell r="M3223" t="str">
            <v>日用</v>
          </cell>
        </row>
        <row r="3223">
          <cell r="S3223">
            <v>-0.35</v>
          </cell>
        </row>
        <row r="3224">
          <cell r="M3224" t="str">
            <v>日用</v>
          </cell>
        </row>
        <row r="3224">
          <cell r="S3224">
            <v>10</v>
          </cell>
        </row>
        <row r="3225">
          <cell r="M3225" t="str">
            <v>日用</v>
          </cell>
        </row>
        <row r="3225">
          <cell r="S3225">
            <v>8.6</v>
          </cell>
        </row>
        <row r="3226">
          <cell r="M3226" t="str">
            <v>日用</v>
          </cell>
        </row>
        <row r="3226">
          <cell r="S3226">
            <v>38</v>
          </cell>
        </row>
        <row r="3227">
          <cell r="M3227" t="str">
            <v>晚餐</v>
          </cell>
        </row>
        <row r="3227">
          <cell r="S3227">
            <v>15</v>
          </cell>
        </row>
        <row r="3228">
          <cell r="M3228" t="str">
            <v>日用</v>
          </cell>
        </row>
        <row r="3228">
          <cell r="S3228">
            <v>-0.33</v>
          </cell>
        </row>
        <row r="3229">
          <cell r="M3229" t="str">
            <v>晚餐</v>
          </cell>
        </row>
        <row r="3229">
          <cell r="S3229">
            <v>1</v>
          </cell>
        </row>
        <row r="3230">
          <cell r="M3230" t="str">
            <v>副投</v>
          </cell>
        </row>
        <row r="3230">
          <cell r="S3230">
            <v>15.92</v>
          </cell>
        </row>
        <row r="3231">
          <cell r="M3231" t="str">
            <v>早餐</v>
          </cell>
        </row>
        <row r="3231">
          <cell r="S3231">
            <v>12</v>
          </cell>
        </row>
        <row r="3232">
          <cell r="M3232" t="str">
            <v>副投</v>
          </cell>
        </row>
        <row r="3232">
          <cell r="S3232">
            <v>25</v>
          </cell>
        </row>
        <row r="3233">
          <cell r="M3233" t="str">
            <v>晚餐</v>
          </cell>
        </row>
        <row r="3233">
          <cell r="S3233">
            <v>200</v>
          </cell>
        </row>
        <row r="3234">
          <cell r="M3234" t="str">
            <v>早餐</v>
          </cell>
        </row>
        <row r="3234">
          <cell r="S3234">
            <v>7</v>
          </cell>
        </row>
        <row r="3235">
          <cell r="M3235" t="str">
            <v>副投</v>
          </cell>
        </row>
        <row r="3235">
          <cell r="R3235" t="str">
            <v>流量费</v>
          </cell>
          <cell r="S3235">
            <v>10</v>
          </cell>
        </row>
        <row r="3236">
          <cell r="M3236" t="str">
            <v>早餐</v>
          </cell>
        </row>
        <row r="3236">
          <cell r="S3236">
            <v>12</v>
          </cell>
        </row>
        <row r="3237">
          <cell r="M3237" t="str">
            <v>小资</v>
          </cell>
        </row>
        <row r="3237">
          <cell r="S3237">
            <v>5</v>
          </cell>
        </row>
        <row r="3238">
          <cell r="M3238" t="str">
            <v>小资</v>
          </cell>
        </row>
        <row r="3238">
          <cell r="S3238">
            <v>3</v>
          </cell>
        </row>
        <row r="3239">
          <cell r="M3239" t="str">
            <v>小资</v>
          </cell>
        </row>
        <row r="3239">
          <cell r="S3239">
            <v>2</v>
          </cell>
        </row>
        <row r="3240">
          <cell r="M3240" t="str">
            <v>小资</v>
          </cell>
        </row>
        <row r="3240">
          <cell r="S3240">
            <v>10</v>
          </cell>
        </row>
        <row r="3241">
          <cell r="M3241" t="str">
            <v>出行</v>
          </cell>
        </row>
        <row r="3241">
          <cell r="S3241">
            <v>17.2</v>
          </cell>
        </row>
        <row r="3242">
          <cell r="M3242" t="str">
            <v>副投</v>
          </cell>
        </row>
        <row r="3242">
          <cell r="R3242" t="str">
            <v>流量费</v>
          </cell>
          <cell r="S3242">
            <v>100</v>
          </cell>
        </row>
        <row r="3243">
          <cell r="M3243" t="str">
            <v>日用</v>
          </cell>
        </row>
        <row r="3243">
          <cell r="S3243">
            <v>1</v>
          </cell>
        </row>
        <row r="3244">
          <cell r="M3244" t="str">
            <v>晚餐</v>
          </cell>
        </row>
        <row r="3244">
          <cell r="S3244">
            <v>1</v>
          </cell>
        </row>
        <row r="3245">
          <cell r="M3245" t="str">
            <v>日用</v>
          </cell>
        </row>
        <row r="3245">
          <cell r="S3245">
            <v>20</v>
          </cell>
        </row>
        <row r="3246">
          <cell r="M3246" t="str">
            <v>会员</v>
          </cell>
        </row>
        <row r="3246">
          <cell r="S3246">
            <v>15</v>
          </cell>
        </row>
        <row r="3247">
          <cell r="M3247" t="str">
            <v>早餐</v>
          </cell>
        </row>
        <row r="3247">
          <cell r="S3247">
            <v>12</v>
          </cell>
        </row>
        <row r="3248">
          <cell r="M3248" t="str">
            <v>日用</v>
          </cell>
        </row>
        <row r="3248">
          <cell r="S3248">
            <v>3</v>
          </cell>
        </row>
        <row r="3249">
          <cell r="M3249" t="str">
            <v>日用</v>
          </cell>
        </row>
        <row r="3249">
          <cell r="S3249">
            <v>-0.05</v>
          </cell>
        </row>
        <row r="3250">
          <cell r="M3250" t="str">
            <v>晚餐</v>
          </cell>
        </row>
        <row r="3250">
          <cell r="S3250">
            <v>15</v>
          </cell>
        </row>
        <row r="3251">
          <cell r="M3251" t="str">
            <v>日用</v>
          </cell>
        </row>
        <row r="3251">
          <cell r="S3251">
            <v>1</v>
          </cell>
        </row>
        <row r="3252">
          <cell r="M3252" t="str">
            <v>早餐</v>
          </cell>
        </row>
        <row r="3252">
          <cell r="S3252">
            <v>14</v>
          </cell>
        </row>
        <row r="3253">
          <cell r="M3253" t="str">
            <v>课程</v>
          </cell>
        </row>
        <row r="3253">
          <cell r="S3253">
            <v>16.8</v>
          </cell>
        </row>
        <row r="3254">
          <cell r="M3254" t="str">
            <v>出行</v>
          </cell>
        </row>
        <row r="3254">
          <cell r="S3254">
            <v>13.8</v>
          </cell>
        </row>
        <row r="3255">
          <cell r="M3255" t="str">
            <v>晚餐</v>
          </cell>
        </row>
        <row r="3255">
          <cell r="S3255">
            <v>15</v>
          </cell>
        </row>
        <row r="3256">
          <cell r="M3256" t="str">
            <v>晚餐</v>
          </cell>
        </row>
        <row r="3256">
          <cell r="S3256">
            <v>1</v>
          </cell>
        </row>
        <row r="3257">
          <cell r="M3257" t="str">
            <v>副投</v>
          </cell>
        </row>
        <row r="3257">
          <cell r="R3257" t="str">
            <v>软件费</v>
          </cell>
          <cell r="S3257">
            <v>20</v>
          </cell>
        </row>
        <row r="3258">
          <cell r="M3258" t="str">
            <v>副投</v>
          </cell>
        </row>
        <row r="3258">
          <cell r="R3258" t="str">
            <v>邮箱</v>
          </cell>
          <cell r="S3258">
            <v>22.72</v>
          </cell>
        </row>
        <row r="3259">
          <cell r="M3259" t="str">
            <v>孝敬</v>
          </cell>
        </row>
        <row r="3259">
          <cell r="S3259">
            <v>2000</v>
          </cell>
        </row>
        <row r="3260">
          <cell r="M3260" t="str">
            <v>日用</v>
          </cell>
        </row>
        <row r="3260">
          <cell r="S3260">
            <v>1.9</v>
          </cell>
        </row>
        <row r="3261">
          <cell r="M3261" t="str">
            <v>早餐</v>
          </cell>
        </row>
        <row r="3261">
          <cell r="S3261">
            <v>14</v>
          </cell>
        </row>
        <row r="3262">
          <cell r="M3262" t="str">
            <v>日用</v>
          </cell>
        </row>
        <row r="3262">
          <cell r="S3262">
            <v>-0.22</v>
          </cell>
        </row>
        <row r="3263">
          <cell r="M3263" t="str">
            <v>会员</v>
          </cell>
        </row>
        <row r="3263">
          <cell r="S3263">
            <v>8</v>
          </cell>
        </row>
        <row r="3264">
          <cell r="M3264" t="str">
            <v>早餐</v>
          </cell>
        </row>
        <row r="3264">
          <cell r="S3264">
            <v>12</v>
          </cell>
        </row>
        <row r="3265">
          <cell r="M3265" t="str">
            <v>日用</v>
          </cell>
        </row>
        <row r="3265">
          <cell r="S3265">
            <v>23.7</v>
          </cell>
        </row>
        <row r="3266">
          <cell r="M3266" t="str">
            <v>晚餐</v>
          </cell>
        </row>
        <row r="3266">
          <cell r="S3266">
            <v>12</v>
          </cell>
        </row>
        <row r="3267">
          <cell r="M3267" t="str">
            <v>小资</v>
          </cell>
        </row>
        <row r="3267">
          <cell r="R3267" t="str">
            <v>门票</v>
          </cell>
          <cell r="S3267">
            <v>30</v>
          </cell>
        </row>
        <row r="3268">
          <cell r="M3268" t="str">
            <v>小资</v>
          </cell>
        </row>
        <row r="3268">
          <cell r="R3268" t="str">
            <v>门票</v>
          </cell>
          <cell r="S3268">
            <v>20</v>
          </cell>
        </row>
        <row r="3269">
          <cell r="M3269" t="str">
            <v>小资</v>
          </cell>
        </row>
        <row r="3269">
          <cell r="R3269" t="str">
            <v>门票</v>
          </cell>
          <cell r="S3269">
            <v>20</v>
          </cell>
        </row>
        <row r="3270">
          <cell r="M3270" t="str">
            <v>小资</v>
          </cell>
        </row>
        <row r="3270">
          <cell r="R3270" t="str">
            <v>城内</v>
          </cell>
          <cell r="S3270">
            <v>22.5</v>
          </cell>
        </row>
        <row r="3271">
          <cell r="M3271" t="str">
            <v>小资</v>
          </cell>
        </row>
        <row r="3271">
          <cell r="R3271" t="str">
            <v>城内</v>
          </cell>
          <cell r="S3271">
            <v>27.6</v>
          </cell>
        </row>
        <row r="3272">
          <cell r="M3272" t="str">
            <v>早餐</v>
          </cell>
        </row>
        <row r="3272">
          <cell r="S3272">
            <v>4</v>
          </cell>
        </row>
        <row r="3273">
          <cell r="M3273" t="str">
            <v>早餐</v>
          </cell>
        </row>
        <row r="3273">
          <cell r="S3273">
            <v>10.5</v>
          </cell>
        </row>
        <row r="3274">
          <cell r="M3274" t="str">
            <v>日用</v>
          </cell>
        </row>
        <row r="3274">
          <cell r="S3274">
            <v>-0.04</v>
          </cell>
        </row>
        <row r="3275">
          <cell r="M3275" t="str">
            <v>会员</v>
          </cell>
        </row>
        <row r="3275">
          <cell r="S3275">
            <v>30</v>
          </cell>
        </row>
        <row r="3276">
          <cell r="M3276" t="str">
            <v>早餐</v>
          </cell>
        </row>
        <row r="3276">
          <cell r="S3276">
            <v>13</v>
          </cell>
        </row>
        <row r="3277">
          <cell r="M3277" t="str">
            <v>日用</v>
          </cell>
        </row>
        <row r="3277">
          <cell r="S3277">
            <v>-5.02</v>
          </cell>
        </row>
        <row r="3278">
          <cell r="M3278" t="str">
            <v>会员</v>
          </cell>
        </row>
        <row r="3278">
          <cell r="S3278">
            <v>9.9</v>
          </cell>
        </row>
        <row r="3279">
          <cell r="M3279" t="str">
            <v>日用</v>
          </cell>
        </row>
        <row r="3279">
          <cell r="S3279">
            <v>-0.08</v>
          </cell>
        </row>
        <row r="3280">
          <cell r="M3280" t="str">
            <v>晚餐</v>
          </cell>
        </row>
        <row r="3280">
          <cell r="S3280">
            <v>15</v>
          </cell>
        </row>
        <row r="3281">
          <cell r="M3281" t="str">
            <v>日用</v>
          </cell>
        </row>
        <row r="3281">
          <cell r="S3281">
            <v>27.9</v>
          </cell>
        </row>
        <row r="3282">
          <cell r="M3282" t="str">
            <v>日用</v>
          </cell>
        </row>
        <row r="3282">
          <cell r="S3282">
            <v>99.54</v>
          </cell>
        </row>
        <row r="3283">
          <cell r="M3283" t="str">
            <v>日用</v>
          </cell>
        </row>
        <row r="3283">
          <cell r="S3283">
            <v>13</v>
          </cell>
        </row>
        <row r="3284">
          <cell r="M3284" t="str">
            <v>日用</v>
          </cell>
        </row>
        <row r="3284">
          <cell r="S3284">
            <v>9.8</v>
          </cell>
        </row>
        <row r="3285">
          <cell r="M3285" t="str">
            <v>日用</v>
          </cell>
        </row>
        <row r="3285">
          <cell r="S3285">
            <v>15</v>
          </cell>
        </row>
        <row r="3286">
          <cell r="M3286" t="str">
            <v>日用</v>
          </cell>
        </row>
        <row r="3286">
          <cell r="S3286">
            <v>14.31</v>
          </cell>
        </row>
        <row r="3287">
          <cell r="M3287" t="str">
            <v>日用</v>
          </cell>
        </row>
        <row r="3287">
          <cell r="S3287">
            <v>99</v>
          </cell>
        </row>
        <row r="3288">
          <cell r="M3288" t="str">
            <v>日用</v>
          </cell>
        </row>
        <row r="3288">
          <cell r="S3288">
            <v>-0.63</v>
          </cell>
        </row>
        <row r="3289">
          <cell r="M3289" t="str">
            <v>出行</v>
          </cell>
        </row>
        <row r="3289">
          <cell r="S3289">
            <v>10.8</v>
          </cell>
        </row>
        <row r="3290">
          <cell r="M3290" t="str">
            <v>早餐</v>
          </cell>
        </row>
        <row r="3290">
          <cell r="S3290">
            <v>14.15</v>
          </cell>
        </row>
        <row r="3291">
          <cell r="M3291" t="str">
            <v>课程</v>
          </cell>
        </row>
        <row r="3291">
          <cell r="S3291">
            <v>19.9</v>
          </cell>
        </row>
        <row r="3292">
          <cell r="M3292" t="str">
            <v>出行</v>
          </cell>
        </row>
        <row r="3292">
          <cell r="S3292">
            <v>9.9</v>
          </cell>
        </row>
        <row r="3293">
          <cell r="M3293" t="str">
            <v>出行</v>
          </cell>
        </row>
        <row r="3293">
          <cell r="S3293">
            <v>11.1</v>
          </cell>
        </row>
        <row r="3294">
          <cell r="M3294" t="str">
            <v>晚餐</v>
          </cell>
        </row>
        <row r="3294">
          <cell r="S3294">
            <v>15</v>
          </cell>
        </row>
        <row r="3295">
          <cell r="M3295" t="str">
            <v>晚餐</v>
          </cell>
        </row>
        <row r="3295">
          <cell r="S3295">
            <v>1</v>
          </cell>
        </row>
        <row r="3296">
          <cell r="M3296" t="str">
            <v>副投</v>
          </cell>
        </row>
        <row r="3296">
          <cell r="S3296">
            <v>35</v>
          </cell>
        </row>
        <row r="3297">
          <cell r="M3297" t="str">
            <v>早餐</v>
          </cell>
        </row>
        <row r="3297">
          <cell r="S3297">
            <v>13</v>
          </cell>
        </row>
        <row r="3298">
          <cell r="M3298" t="str">
            <v>副投</v>
          </cell>
        </row>
        <row r="3298">
          <cell r="S3298">
            <v>5</v>
          </cell>
        </row>
        <row r="3299">
          <cell r="M3299" t="str">
            <v>小资</v>
          </cell>
        </row>
        <row r="3299">
          <cell r="R3299" t="str">
            <v>门票</v>
          </cell>
          <cell r="S3299">
            <v>30</v>
          </cell>
        </row>
        <row r="3300">
          <cell r="M3300" t="str">
            <v>小资</v>
          </cell>
        </row>
        <row r="3300">
          <cell r="R3300" t="str">
            <v>门票</v>
          </cell>
          <cell r="S3300">
            <v>80</v>
          </cell>
        </row>
        <row r="3301">
          <cell r="M3301" t="str">
            <v>小资</v>
          </cell>
        </row>
        <row r="3301">
          <cell r="R3301" t="str">
            <v>城内</v>
          </cell>
          <cell r="S3301">
            <v>18.3</v>
          </cell>
        </row>
        <row r="3302">
          <cell r="M3302" t="str">
            <v>小资</v>
          </cell>
        </row>
        <row r="3302">
          <cell r="R3302" t="str">
            <v>城内</v>
          </cell>
          <cell r="S3302">
            <v>18.7</v>
          </cell>
        </row>
        <row r="3303">
          <cell r="M3303" t="str">
            <v>早餐</v>
          </cell>
        </row>
        <row r="3303">
          <cell r="S3303">
            <v>10</v>
          </cell>
        </row>
        <row r="3304">
          <cell r="M3304" t="str">
            <v>副投</v>
          </cell>
        </row>
        <row r="3304">
          <cell r="R3304" t="str">
            <v>录音笔</v>
          </cell>
          <cell r="S3304">
            <v>314</v>
          </cell>
        </row>
        <row r="3305">
          <cell r="M3305" t="str">
            <v>日用</v>
          </cell>
        </row>
        <row r="3305">
          <cell r="S3305">
            <v>0.31</v>
          </cell>
        </row>
        <row r="3306">
          <cell r="M3306" t="str">
            <v>早餐</v>
          </cell>
        </row>
        <row r="3306">
          <cell r="S3306">
            <v>26</v>
          </cell>
        </row>
        <row r="3307">
          <cell r="M3307" t="str">
            <v>课程</v>
          </cell>
        </row>
        <row r="3307">
          <cell r="S3307">
            <v>691</v>
          </cell>
        </row>
        <row r="3308">
          <cell r="M3308" t="str">
            <v>晚餐</v>
          </cell>
        </row>
        <row r="3308">
          <cell r="S3308">
            <v>3</v>
          </cell>
        </row>
        <row r="3309">
          <cell r="M3309" t="str">
            <v>早餐</v>
          </cell>
        </row>
        <row r="3309">
          <cell r="S3309">
            <v>20.76</v>
          </cell>
        </row>
        <row r="3310">
          <cell r="M3310" t="str">
            <v>副入</v>
          </cell>
        </row>
        <row r="3310">
          <cell r="R3310" t="str">
            <v>其他</v>
          </cell>
          <cell r="S3310">
            <v>-16</v>
          </cell>
        </row>
        <row r="3311">
          <cell r="M3311" t="str">
            <v>日用</v>
          </cell>
        </row>
        <row r="3311">
          <cell r="S3311">
            <v>6</v>
          </cell>
        </row>
        <row r="3312">
          <cell r="M3312" t="str">
            <v>日用</v>
          </cell>
        </row>
        <row r="3312">
          <cell r="S3312">
            <v>12.36</v>
          </cell>
        </row>
        <row r="3313">
          <cell r="M3313" t="str">
            <v>晚餐</v>
          </cell>
        </row>
        <row r="3313">
          <cell r="S3313">
            <v>1</v>
          </cell>
        </row>
        <row r="3314">
          <cell r="M3314" t="str">
            <v>日用</v>
          </cell>
        </row>
        <row r="3314">
          <cell r="S3314">
            <v>22</v>
          </cell>
        </row>
        <row r="3315">
          <cell r="M3315" t="str">
            <v>副入</v>
          </cell>
        </row>
        <row r="3315">
          <cell r="R3315" t="str">
            <v>其他</v>
          </cell>
          <cell r="S3315">
            <v>-16</v>
          </cell>
        </row>
        <row r="3316">
          <cell r="M3316" t="str">
            <v>早餐</v>
          </cell>
        </row>
        <row r="3316">
          <cell r="S3316">
            <v>12</v>
          </cell>
        </row>
        <row r="3317">
          <cell r="M3317" t="str">
            <v>日用</v>
          </cell>
        </row>
        <row r="3317">
          <cell r="S3317">
            <v>-0.19</v>
          </cell>
        </row>
        <row r="3318">
          <cell r="M3318" t="str">
            <v>日用</v>
          </cell>
        </row>
        <row r="3318">
          <cell r="S3318">
            <v>-0.1</v>
          </cell>
        </row>
        <row r="3319">
          <cell r="M3319" t="str">
            <v>晚餐</v>
          </cell>
        </row>
        <row r="3319">
          <cell r="S3319">
            <v>21.83</v>
          </cell>
        </row>
        <row r="3320">
          <cell r="M3320" t="str">
            <v>课程</v>
          </cell>
        </row>
        <row r="3320">
          <cell r="R3320" t="str">
            <v>流量费</v>
          </cell>
          <cell r="S3320">
            <v>38</v>
          </cell>
        </row>
        <row r="3321">
          <cell r="M3321" t="str">
            <v>早餐</v>
          </cell>
        </row>
        <row r="3321">
          <cell r="S3321">
            <v>14</v>
          </cell>
        </row>
        <row r="3322">
          <cell r="M3322" t="str">
            <v>副投</v>
          </cell>
        </row>
        <row r="3322">
          <cell r="S3322">
            <v>100</v>
          </cell>
        </row>
        <row r="3323">
          <cell r="M3323" t="str">
            <v>社交</v>
          </cell>
        </row>
        <row r="3323">
          <cell r="S3323">
            <v>114</v>
          </cell>
        </row>
        <row r="3324">
          <cell r="M3324" t="str">
            <v>社交</v>
          </cell>
        </row>
        <row r="3324">
          <cell r="S3324">
            <v>74.8</v>
          </cell>
        </row>
        <row r="3325">
          <cell r="M3325" t="str">
            <v>日用</v>
          </cell>
        </row>
        <row r="3325">
          <cell r="S3325">
            <v>11.2</v>
          </cell>
        </row>
        <row r="3326">
          <cell r="M3326" t="str">
            <v>早餐</v>
          </cell>
        </row>
        <row r="3326">
          <cell r="S3326">
            <v>20.22</v>
          </cell>
        </row>
        <row r="3327">
          <cell r="M3327" t="str">
            <v>晚餐</v>
          </cell>
        </row>
        <row r="3327">
          <cell r="S3327">
            <v>1</v>
          </cell>
        </row>
        <row r="3328">
          <cell r="M3328" t="str">
            <v>课程</v>
          </cell>
        </row>
        <row r="3328">
          <cell r="S3328">
            <v>18.89</v>
          </cell>
        </row>
        <row r="3329">
          <cell r="M3329" t="str">
            <v>早餐</v>
          </cell>
        </row>
        <row r="3329">
          <cell r="S3329">
            <v>14</v>
          </cell>
        </row>
        <row r="3330">
          <cell r="M3330" t="str">
            <v>出行</v>
          </cell>
        </row>
        <row r="3330">
          <cell r="S3330">
            <v>10</v>
          </cell>
        </row>
        <row r="3331">
          <cell r="M3331" t="str">
            <v>晚餐</v>
          </cell>
        </row>
        <row r="3331">
          <cell r="S3331">
            <v>19.47</v>
          </cell>
        </row>
        <row r="3332">
          <cell r="M3332" t="str">
            <v>早餐</v>
          </cell>
        </row>
        <row r="3332">
          <cell r="S3332">
            <v>14</v>
          </cell>
        </row>
        <row r="3333">
          <cell r="M3333" t="str">
            <v>晚餐</v>
          </cell>
        </row>
        <row r="3333">
          <cell r="S3333">
            <v>20.86</v>
          </cell>
        </row>
        <row r="3334">
          <cell r="M3334" t="str">
            <v>晚餐</v>
          </cell>
        </row>
        <row r="3334">
          <cell r="S3334">
            <v>1</v>
          </cell>
        </row>
        <row r="3335">
          <cell r="M3335" t="str">
            <v>日用</v>
          </cell>
        </row>
        <row r="3335">
          <cell r="S3335">
            <v>2.05000000000018</v>
          </cell>
        </row>
        <row r="3336">
          <cell r="S3336" t="str">
            <v/>
          </cell>
        </row>
        <row r="3337">
          <cell r="S3337" t="str">
            <v/>
          </cell>
        </row>
        <row r="3338">
          <cell r="S3338" t="str">
            <v/>
          </cell>
        </row>
        <row r="3339">
          <cell r="S3339" t="str">
            <v/>
          </cell>
        </row>
        <row r="3340">
          <cell r="S3340" t="str">
            <v/>
          </cell>
        </row>
        <row r="3341">
          <cell r="S3341" t="str">
            <v/>
          </cell>
        </row>
        <row r="3342">
          <cell r="S3342" t="str">
            <v/>
          </cell>
        </row>
        <row r="3343">
          <cell r="S3343" t="str">
            <v/>
          </cell>
        </row>
        <row r="3344">
          <cell r="S3344" t="str">
            <v/>
          </cell>
        </row>
        <row r="3345">
          <cell r="S3345" t="str">
            <v/>
          </cell>
        </row>
        <row r="3346">
          <cell r="S3346" t="str">
            <v/>
          </cell>
        </row>
        <row r="3347">
          <cell r="S3347" t="str">
            <v/>
          </cell>
        </row>
        <row r="3348">
          <cell r="S3348" t="str">
            <v/>
          </cell>
        </row>
        <row r="3349">
          <cell r="S3349" t="str">
            <v/>
          </cell>
        </row>
        <row r="3350">
          <cell r="S3350" t="str">
            <v/>
          </cell>
        </row>
        <row r="3351">
          <cell r="S3351" t="str">
            <v/>
          </cell>
        </row>
        <row r="3352">
          <cell r="S3352" t="str">
            <v/>
          </cell>
        </row>
        <row r="3353">
          <cell r="S3353" t="str">
            <v/>
          </cell>
        </row>
        <row r="3354">
          <cell r="S3354" t="str">
            <v/>
          </cell>
        </row>
        <row r="3355">
          <cell r="S3355" t="str">
            <v/>
          </cell>
        </row>
        <row r="3356">
          <cell r="S3356" t="str">
            <v/>
          </cell>
        </row>
        <row r="3357">
          <cell r="S3357" t="str">
            <v/>
          </cell>
        </row>
        <row r="3358">
          <cell r="S3358" t="str">
            <v/>
          </cell>
        </row>
        <row r="3359">
          <cell r="S3359" t="str">
            <v/>
          </cell>
        </row>
        <row r="3360">
          <cell r="S3360" t="str">
            <v/>
          </cell>
        </row>
        <row r="3361">
          <cell r="S3361" t="str">
            <v/>
          </cell>
        </row>
        <row r="3362">
          <cell r="S3362" t="str">
            <v/>
          </cell>
        </row>
        <row r="3363">
          <cell r="S3363" t="str">
            <v/>
          </cell>
        </row>
        <row r="3364">
          <cell r="S3364" t="str">
            <v/>
          </cell>
        </row>
        <row r="3365">
          <cell r="S3365" t="str">
            <v/>
          </cell>
        </row>
        <row r="3366">
          <cell r="S3366" t="str">
            <v/>
          </cell>
        </row>
        <row r="3367">
          <cell r="S3367" t="str">
            <v/>
          </cell>
        </row>
        <row r="3368">
          <cell r="S3368" t="str">
            <v/>
          </cell>
        </row>
        <row r="3369">
          <cell r="S3369" t="str">
            <v/>
          </cell>
        </row>
        <row r="3370">
          <cell r="S3370" t="str">
            <v/>
          </cell>
        </row>
        <row r="3371">
          <cell r="S3371" t="str">
            <v/>
          </cell>
        </row>
        <row r="3372">
          <cell r="S3372" t="str">
            <v/>
          </cell>
        </row>
        <row r="3373">
          <cell r="S3373" t="str">
            <v/>
          </cell>
        </row>
        <row r="3374">
          <cell r="S3374" t="str">
            <v/>
          </cell>
        </row>
        <row r="3375">
          <cell r="S3375" t="str">
            <v/>
          </cell>
        </row>
        <row r="3376">
          <cell r="S3376" t="str">
            <v/>
          </cell>
        </row>
        <row r="3377">
          <cell r="S3377" t="str">
            <v/>
          </cell>
        </row>
        <row r="3378">
          <cell r="S3378" t="str">
            <v/>
          </cell>
        </row>
        <row r="3379">
          <cell r="S3379" t="str">
            <v/>
          </cell>
        </row>
        <row r="3380">
          <cell r="S3380" t="str">
            <v/>
          </cell>
        </row>
        <row r="3381">
          <cell r="S3381" t="str">
            <v/>
          </cell>
        </row>
        <row r="3382">
          <cell r="S3382" t="str">
            <v/>
          </cell>
        </row>
        <row r="3383">
          <cell r="S3383" t="str">
            <v/>
          </cell>
        </row>
        <row r="3384">
          <cell r="S3384" t="str">
            <v/>
          </cell>
        </row>
        <row r="3385">
          <cell r="S3385" t="str">
            <v/>
          </cell>
        </row>
        <row r="3386">
          <cell r="S3386" t="str">
            <v/>
          </cell>
        </row>
        <row r="3387">
          <cell r="S3387" t="str">
            <v/>
          </cell>
        </row>
        <row r="3388">
          <cell r="S3388" t="str">
            <v/>
          </cell>
        </row>
        <row r="3389">
          <cell r="S3389" t="str">
            <v/>
          </cell>
        </row>
        <row r="3390">
          <cell r="S3390" t="str">
            <v/>
          </cell>
        </row>
        <row r="3391">
          <cell r="S3391" t="str">
            <v/>
          </cell>
        </row>
        <row r="3392">
          <cell r="S3392" t="str">
            <v/>
          </cell>
        </row>
        <row r="3393">
          <cell r="S3393" t="str">
            <v/>
          </cell>
        </row>
        <row r="3394">
          <cell r="S3394" t="str">
            <v/>
          </cell>
        </row>
        <row r="3395">
          <cell r="S3395" t="str">
            <v/>
          </cell>
        </row>
        <row r="3396">
          <cell r="S3396" t="str">
            <v/>
          </cell>
        </row>
        <row r="3397">
          <cell r="S3397" t="str">
            <v/>
          </cell>
        </row>
        <row r="3398">
          <cell r="S3398" t="str">
            <v/>
          </cell>
        </row>
        <row r="3399">
          <cell r="S3399" t="str">
            <v/>
          </cell>
        </row>
        <row r="3400">
          <cell r="S3400" t="str">
            <v/>
          </cell>
        </row>
        <row r="3401">
          <cell r="S3401" t="str">
            <v/>
          </cell>
        </row>
        <row r="3402">
          <cell r="S3402" t="str">
            <v/>
          </cell>
        </row>
        <row r="3403">
          <cell r="S3403" t="str">
            <v/>
          </cell>
        </row>
        <row r="3404">
          <cell r="S3404" t="str">
            <v/>
          </cell>
        </row>
        <row r="3405">
          <cell r="S3405" t="str">
            <v/>
          </cell>
        </row>
        <row r="3406">
          <cell r="S3406" t="str">
            <v/>
          </cell>
        </row>
        <row r="3407">
          <cell r="S3407" t="str">
            <v/>
          </cell>
        </row>
        <row r="3408">
          <cell r="S3408" t="str">
            <v/>
          </cell>
        </row>
        <row r="3409">
          <cell r="S3409" t="str">
            <v/>
          </cell>
        </row>
        <row r="3410">
          <cell r="S3410" t="str">
            <v/>
          </cell>
        </row>
        <row r="3411">
          <cell r="S3411" t="str">
            <v/>
          </cell>
        </row>
        <row r="3412">
          <cell r="S3412" t="str">
            <v/>
          </cell>
        </row>
        <row r="3413">
          <cell r="S3413" t="str">
            <v/>
          </cell>
        </row>
        <row r="3414">
          <cell r="S3414" t="str">
            <v/>
          </cell>
        </row>
        <row r="3415">
          <cell r="S3415" t="str">
            <v/>
          </cell>
        </row>
        <row r="3416">
          <cell r="S3416" t="str">
            <v/>
          </cell>
        </row>
        <row r="3417">
          <cell r="S3417" t="str">
            <v/>
          </cell>
        </row>
        <row r="3418">
          <cell r="S3418" t="str">
            <v/>
          </cell>
        </row>
        <row r="3419">
          <cell r="S3419" t="str">
            <v/>
          </cell>
        </row>
        <row r="3420">
          <cell r="S3420" t="str">
            <v/>
          </cell>
        </row>
        <row r="3421">
          <cell r="S3421" t="str">
            <v/>
          </cell>
        </row>
        <row r="3422">
          <cell r="S3422" t="str">
            <v/>
          </cell>
        </row>
        <row r="3423">
          <cell r="S3423" t="str">
            <v/>
          </cell>
        </row>
        <row r="3424">
          <cell r="S3424" t="str">
            <v/>
          </cell>
        </row>
        <row r="3425">
          <cell r="S3425" t="str">
            <v/>
          </cell>
        </row>
        <row r="3426">
          <cell r="S3426" t="str">
            <v/>
          </cell>
        </row>
        <row r="3427">
          <cell r="S3427" t="str">
            <v/>
          </cell>
        </row>
        <row r="3428">
          <cell r="S3428" t="str">
            <v/>
          </cell>
        </row>
        <row r="3429">
          <cell r="S3429" t="str">
            <v/>
          </cell>
        </row>
        <row r="3430">
          <cell r="S3430" t="str">
            <v/>
          </cell>
        </row>
        <row r="3431">
          <cell r="S3431" t="str">
            <v/>
          </cell>
        </row>
        <row r="3432">
          <cell r="S3432" t="str">
            <v/>
          </cell>
        </row>
        <row r="3433">
          <cell r="S3433" t="str">
            <v/>
          </cell>
        </row>
        <row r="3434">
          <cell r="S3434" t="str">
            <v/>
          </cell>
        </row>
        <row r="3435">
          <cell r="S3435" t="str">
            <v/>
          </cell>
        </row>
        <row r="3436">
          <cell r="S3436" t="str">
            <v/>
          </cell>
        </row>
        <row r="3437">
          <cell r="S3437" t="str">
            <v/>
          </cell>
        </row>
        <row r="3438">
          <cell r="S3438" t="str">
            <v/>
          </cell>
        </row>
        <row r="3439">
          <cell r="S3439" t="str">
            <v/>
          </cell>
        </row>
        <row r="3440">
          <cell r="S3440" t="str">
            <v/>
          </cell>
        </row>
        <row r="3441">
          <cell r="S3441" t="str">
            <v/>
          </cell>
        </row>
        <row r="3442">
          <cell r="S3442" t="str">
            <v/>
          </cell>
        </row>
        <row r="3443">
          <cell r="S3443" t="str">
            <v/>
          </cell>
        </row>
        <row r="3444">
          <cell r="S3444" t="str">
            <v/>
          </cell>
        </row>
        <row r="3445">
          <cell r="S3445" t="str">
            <v/>
          </cell>
        </row>
        <row r="3446">
          <cell r="S3446" t="str">
            <v/>
          </cell>
        </row>
        <row r="3447">
          <cell r="S3447" t="str">
            <v/>
          </cell>
        </row>
        <row r="3448">
          <cell r="S3448" t="str">
            <v/>
          </cell>
        </row>
        <row r="3449">
          <cell r="S3449" t="str">
            <v/>
          </cell>
        </row>
        <row r="3450">
          <cell r="S3450" t="str">
            <v/>
          </cell>
        </row>
        <row r="3451">
          <cell r="S3451" t="str">
            <v/>
          </cell>
        </row>
        <row r="3452">
          <cell r="S3452" t="str">
            <v/>
          </cell>
        </row>
        <row r="3453">
          <cell r="S3453" t="str">
            <v/>
          </cell>
        </row>
        <row r="3454">
          <cell r="S3454" t="str">
            <v/>
          </cell>
        </row>
        <row r="3455">
          <cell r="S3455" t="str">
            <v/>
          </cell>
        </row>
        <row r="3456">
          <cell r="S3456" t="str">
            <v/>
          </cell>
        </row>
        <row r="3457">
          <cell r="S3457" t="str">
            <v/>
          </cell>
        </row>
        <row r="3458">
          <cell r="S3458" t="str">
            <v/>
          </cell>
        </row>
        <row r="3459">
          <cell r="S3459" t="str">
            <v/>
          </cell>
        </row>
        <row r="3460">
          <cell r="S3460" t="str">
            <v/>
          </cell>
        </row>
        <row r="3461">
          <cell r="S3461" t="str">
            <v/>
          </cell>
        </row>
        <row r="3462">
          <cell r="S3462" t="str">
            <v/>
          </cell>
        </row>
        <row r="3463">
          <cell r="S3463" t="str">
            <v/>
          </cell>
        </row>
        <row r="3464">
          <cell r="S3464" t="str">
            <v/>
          </cell>
        </row>
        <row r="3465">
          <cell r="S3465" t="str">
            <v/>
          </cell>
        </row>
        <row r="3466">
          <cell r="S3466" t="str">
            <v/>
          </cell>
        </row>
        <row r="3467">
          <cell r="S3467" t="str">
            <v/>
          </cell>
        </row>
        <row r="3468">
          <cell r="S3468" t="str">
            <v/>
          </cell>
        </row>
        <row r="3469">
          <cell r="S3469" t="str">
            <v/>
          </cell>
        </row>
        <row r="3470">
          <cell r="S3470" t="str">
            <v/>
          </cell>
        </row>
        <row r="3471">
          <cell r="S3471" t="str">
            <v/>
          </cell>
        </row>
        <row r="3472">
          <cell r="S3472" t="str">
            <v/>
          </cell>
        </row>
        <row r="3473">
          <cell r="S3473" t="str">
            <v/>
          </cell>
        </row>
        <row r="3474">
          <cell r="S3474" t="str">
            <v/>
          </cell>
        </row>
        <row r="3475">
          <cell r="S3475" t="str">
            <v/>
          </cell>
        </row>
        <row r="3476">
          <cell r="S3476" t="str">
            <v/>
          </cell>
        </row>
        <row r="3477">
          <cell r="S3477" t="str">
            <v/>
          </cell>
        </row>
        <row r="3478">
          <cell r="S3478" t="str">
            <v/>
          </cell>
        </row>
        <row r="3479">
          <cell r="S3479" t="str">
            <v/>
          </cell>
        </row>
        <row r="3480">
          <cell r="S3480" t="str">
            <v/>
          </cell>
        </row>
        <row r="3481">
          <cell r="S3481" t="str">
            <v/>
          </cell>
        </row>
        <row r="3482">
          <cell r="S3482" t="str">
            <v/>
          </cell>
        </row>
        <row r="3483">
          <cell r="S3483" t="str">
            <v/>
          </cell>
        </row>
        <row r="3484">
          <cell r="S3484" t="str">
            <v/>
          </cell>
        </row>
        <row r="3485">
          <cell r="S3485" t="str">
            <v/>
          </cell>
        </row>
        <row r="3486">
          <cell r="S3486" t="str">
            <v/>
          </cell>
        </row>
        <row r="3487">
          <cell r="S3487" t="str">
            <v/>
          </cell>
        </row>
        <row r="3488">
          <cell r="S3488" t="str">
            <v/>
          </cell>
        </row>
        <row r="3489">
          <cell r="S3489" t="str">
            <v/>
          </cell>
        </row>
        <row r="3490">
          <cell r="S3490" t="str">
            <v/>
          </cell>
        </row>
        <row r="3491">
          <cell r="S3491" t="str">
            <v/>
          </cell>
        </row>
        <row r="3492">
          <cell r="S3492" t="str">
            <v/>
          </cell>
        </row>
        <row r="3493">
          <cell r="S3493" t="str">
            <v/>
          </cell>
        </row>
        <row r="3494">
          <cell r="S3494" t="str">
            <v/>
          </cell>
        </row>
        <row r="3495">
          <cell r="S3495" t="str">
            <v/>
          </cell>
        </row>
        <row r="3496">
          <cell r="S3496" t="str">
            <v/>
          </cell>
        </row>
        <row r="3497">
          <cell r="S3497" t="str">
            <v/>
          </cell>
        </row>
        <row r="3498">
          <cell r="S3498" t="str">
            <v/>
          </cell>
        </row>
        <row r="3499">
          <cell r="S3499" t="str">
            <v/>
          </cell>
        </row>
        <row r="3500">
          <cell r="S3500" t="str">
            <v/>
          </cell>
        </row>
        <row r="3501">
          <cell r="S3501" t="str">
            <v/>
          </cell>
        </row>
        <row r="3502">
          <cell r="S3502" t="str">
            <v/>
          </cell>
        </row>
        <row r="3503">
          <cell r="S3503" t="str">
            <v/>
          </cell>
        </row>
        <row r="3504">
          <cell r="S3504" t="str">
            <v/>
          </cell>
        </row>
        <row r="3505">
          <cell r="S3505" t="str">
            <v/>
          </cell>
        </row>
        <row r="3506">
          <cell r="S3506" t="str">
            <v/>
          </cell>
        </row>
        <row r="3507">
          <cell r="S3507" t="str">
            <v/>
          </cell>
        </row>
        <row r="3508">
          <cell r="S3508" t="str">
            <v/>
          </cell>
        </row>
        <row r="3509">
          <cell r="S3509" t="str">
            <v/>
          </cell>
        </row>
        <row r="3510">
          <cell r="S3510" t="str">
            <v/>
          </cell>
        </row>
        <row r="3511">
          <cell r="S3511" t="str">
            <v/>
          </cell>
        </row>
        <row r="3512">
          <cell r="S3512" t="str">
            <v/>
          </cell>
        </row>
        <row r="3513">
          <cell r="S3513" t="str">
            <v/>
          </cell>
        </row>
        <row r="3514">
          <cell r="S3514" t="str">
            <v/>
          </cell>
        </row>
        <row r="3515">
          <cell r="S3515" t="str">
            <v/>
          </cell>
        </row>
        <row r="3516">
          <cell r="S3516" t="str">
            <v/>
          </cell>
        </row>
        <row r="3517">
          <cell r="S3517" t="str">
            <v/>
          </cell>
        </row>
        <row r="3518">
          <cell r="S3518" t="str">
            <v/>
          </cell>
        </row>
        <row r="3519">
          <cell r="S3519" t="str">
            <v/>
          </cell>
        </row>
        <row r="3520">
          <cell r="S3520" t="str">
            <v/>
          </cell>
        </row>
        <row r="3521">
          <cell r="S3521" t="str">
            <v/>
          </cell>
        </row>
        <row r="3522">
          <cell r="S3522" t="str">
            <v/>
          </cell>
        </row>
        <row r="3523">
          <cell r="S3523" t="str">
            <v/>
          </cell>
        </row>
        <row r="3524">
          <cell r="S3524" t="str">
            <v/>
          </cell>
        </row>
        <row r="3525">
          <cell r="S3525" t="str">
            <v/>
          </cell>
        </row>
        <row r="3526">
          <cell r="S3526" t="str">
            <v/>
          </cell>
        </row>
        <row r="3527">
          <cell r="S3527" t="str">
            <v/>
          </cell>
        </row>
        <row r="3528">
          <cell r="S3528" t="str">
            <v/>
          </cell>
        </row>
        <row r="3529">
          <cell r="S3529" t="str">
            <v/>
          </cell>
        </row>
        <row r="3530">
          <cell r="S3530" t="str">
            <v/>
          </cell>
        </row>
        <row r="3531">
          <cell r="S3531" t="str">
            <v/>
          </cell>
        </row>
        <row r="3532">
          <cell r="S3532" t="str">
            <v/>
          </cell>
        </row>
        <row r="3533">
          <cell r="S3533" t="str">
            <v/>
          </cell>
        </row>
        <row r="3534">
          <cell r="S3534" t="str">
            <v/>
          </cell>
        </row>
        <row r="3535">
          <cell r="S3535" t="str">
            <v/>
          </cell>
        </row>
        <row r="3536">
          <cell r="S3536" t="str">
            <v/>
          </cell>
        </row>
        <row r="3537">
          <cell r="S3537" t="str">
            <v/>
          </cell>
        </row>
        <row r="3538">
          <cell r="S3538" t="str">
            <v/>
          </cell>
        </row>
        <row r="3539">
          <cell r="S3539" t="str">
            <v/>
          </cell>
        </row>
        <row r="3540">
          <cell r="S3540" t="str">
            <v/>
          </cell>
        </row>
        <row r="3541">
          <cell r="S3541" t="str">
            <v/>
          </cell>
        </row>
        <row r="3542">
          <cell r="S3542" t="str">
            <v/>
          </cell>
        </row>
        <row r="3543">
          <cell r="S3543" t="str">
            <v/>
          </cell>
        </row>
        <row r="3544">
          <cell r="S3544" t="str">
            <v/>
          </cell>
        </row>
        <row r="3545">
          <cell r="S3545" t="str">
            <v/>
          </cell>
        </row>
        <row r="3546">
          <cell r="S3546" t="str">
            <v/>
          </cell>
        </row>
        <row r="3547">
          <cell r="S3547" t="str">
            <v/>
          </cell>
        </row>
        <row r="3548">
          <cell r="S3548" t="str">
            <v/>
          </cell>
        </row>
        <row r="3549">
          <cell r="S3549" t="str">
            <v/>
          </cell>
        </row>
        <row r="3550">
          <cell r="S3550" t="str">
            <v/>
          </cell>
        </row>
        <row r="3551">
          <cell r="S3551" t="str">
            <v/>
          </cell>
        </row>
        <row r="3552">
          <cell r="S3552" t="str">
            <v/>
          </cell>
        </row>
        <row r="3553">
          <cell r="S3553" t="str">
            <v/>
          </cell>
        </row>
        <row r="3554">
          <cell r="S3554" t="str">
            <v/>
          </cell>
        </row>
        <row r="3555">
          <cell r="S3555" t="str">
            <v/>
          </cell>
        </row>
        <row r="3556">
          <cell r="S3556" t="str">
            <v/>
          </cell>
        </row>
        <row r="3557">
          <cell r="S3557" t="str">
            <v/>
          </cell>
        </row>
        <row r="3558">
          <cell r="S3558" t="str">
            <v/>
          </cell>
        </row>
        <row r="3559">
          <cell r="S3559" t="str">
            <v/>
          </cell>
        </row>
        <row r="3560">
          <cell r="S3560" t="str">
            <v/>
          </cell>
        </row>
        <row r="3561">
          <cell r="S3561" t="str">
            <v/>
          </cell>
        </row>
        <row r="3562">
          <cell r="S3562" t="str">
            <v/>
          </cell>
        </row>
        <row r="3563">
          <cell r="S3563" t="str">
            <v/>
          </cell>
        </row>
        <row r="3564">
          <cell r="S3564" t="str">
            <v/>
          </cell>
        </row>
        <row r="3565">
          <cell r="S3565" t="str">
            <v/>
          </cell>
        </row>
        <row r="3566">
          <cell r="S3566" t="str">
            <v/>
          </cell>
        </row>
        <row r="3567">
          <cell r="S3567" t="str">
            <v/>
          </cell>
        </row>
        <row r="3568">
          <cell r="S3568" t="str">
            <v/>
          </cell>
        </row>
        <row r="3569">
          <cell r="S3569" t="str">
            <v/>
          </cell>
        </row>
        <row r="3570">
          <cell r="S3570" t="str">
            <v/>
          </cell>
        </row>
        <row r="3571">
          <cell r="S3571" t="str">
            <v/>
          </cell>
        </row>
        <row r="3572">
          <cell r="S3572" t="str">
            <v/>
          </cell>
        </row>
        <row r="3573">
          <cell r="S3573" t="str">
            <v/>
          </cell>
        </row>
        <row r="3574">
          <cell r="S3574" t="str">
            <v/>
          </cell>
        </row>
        <row r="3575">
          <cell r="S3575" t="str">
            <v/>
          </cell>
        </row>
        <row r="3576">
          <cell r="S3576" t="str">
            <v/>
          </cell>
        </row>
        <row r="3577">
          <cell r="S3577" t="str">
            <v/>
          </cell>
        </row>
        <row r="3578">
          <cell r="S3578" t="str">
            <v/>
          </cell>
        </row>
        <row r="3579">
          <cell r="S3579" t="str">
            <v/>
          </cell>
        </row>
        <row r="3580">
          <cell r="S3580" t="str">
            <v/>
          </cell>
        </row>
        <row r="3581">
          <cell r="S3581" t="str">
            <v/>
          </cell>
        </row>
        <row r="3582">
          <cell r="S3582" t="str">
            <v/>
          </cell>
        </row>
        <row r="3583">
          <cell r="S3583" t="str">
            <v/>
          </cell>
        </row>
        <row r="3584">
          <cell r="S3584" t="str">
            <v/>
          </cell>
        </row>
        <row r="3585">
          <cell r="S3585" t="str">
            <v/>
          </cell>
        </row>
        <row r="3586">
          <cell r="S3586" t="str">
            <v/>
          </cell>
        </row>
        <row r="3587">
          <cell r="S3587" t="str">
            <v/>
          </cell>
        </row>
        <row r="3588">
          <cell r="S3588" t="str">
            <v/>
          </cell>
        </row>
        <row r="3589">
          <cell r="S3589" t="str">
            <v/>
          </cell>
        </row>
        <row r="3590">
          <cell r="S3590" t="str">
            <v/>
          </cell>
        </row>
        <row r="3591">
          <cell r="S3591" t="str">
            <v/>
          </cell>
        </row>
        <row r="3592">
          <cell r="S3592" t="str">
            <v/>
          </cell>
        </row>
        <row r="3593">
          <cell r="S3593" t="str">
            <v/>
          </cell>
        </row>
        <row r="3594">
          <cell r="S3594" t="str">
            <v/>
          </cell>
        </row>
        <row r="3595">
          <cell r="S3595" t="str">
            <v/>
          </cell>
        </row>
        <row r="3596">
          <cell r="S3596" t="str">
            <v/>
          </cell>
        </row>
        <row r="3597">
          <cell r="S3597" t="str">
            <v/>
          </cell>
        </row>
        <row r="3598">
          <cell r="S3598" t="str">
            <v/>
          </cell>
        </row>
        <row r="3599">
          <cell r="S3599" t="str">
            <v/>
          </cell>
        </row>
        <row r="3600">
          <cell r="S3600" t="str">
            <v/>
          </cell>
        </row>
        <row r="3601">
          <cell r="S3601" t="str">
            <v/>
          </cell>
        </row>
        <row r="3602">
          <cell r="S3602" t="str">
            <v/>
          </cell>
        </row>
        <row r="3603">
          <cell r="S3603" t="str">
            <v/>
          </cell>
        </row>
        <row r="3604">
          <cell r="S3604" t="str">
            <v/>
          </cell>
        </row>
        <row r="3605">
          <cell r="S3605" t="str">
            <v/>
          </cell>
        </row>
        <row r="3606">
          <cell r="S3606" t="str">
            <v/>
          </cell>
        </row>
        <row r="3607">
          <cell r="S3607" t="str">
            <v/>
          </cell>
        </row>
        <row r="3608">
          <cell r="S3608" t="str">
            <v/>
          </cell>
        </row>
        <row r="3609">
          <cell r="S3609" t="str">
            <v/>
          </cell>
        </row>
        <row r="3610">
          <cell r="S3610" t="str">
            <v/>
          </cell>
        </row>
        <row r="3611">
          <cell r="S3611" t="str">
            <v/>
          </cell>
        </row>
        <row r="3612">
          <cell r="S3612" t="str">
            <v/>
          </cell>
        </row>
        <row r="3613">
          <cell r="S3613" t="str">
            <v/>
          </cell>
        </row>
        <row r="3614">
          <cell r="S3614" t="str">
            <v/>
          </cell>
        </row>
        <row r="3615">
          <cell r="S3615" t="str">
            <v/>
          </cell>
        </row>
        <row r="3616">
          <cell r="S3616" t="str">
            <v/>
          </cell>
        </row>
        <row r="3617">
          <cell r="S3617" t="str">
            <v/>
          </cell>
        </row>
        <row r="3618">
          <cell r="S3618" t="str">
            <v/>
          </cell>
        </row>
        <row r="3619">
          <cell r="S3619" t="str">
            <v/>
          </cell>
        </row>
        <row r="3620">
          <cell r="S3620" t="str">
            <v/>
          </cell>
        </row>
        <row r="3621">
          <cell r="S3621" t="str">
            <v/>
          </cell>
        </row>
        <row r="3622">
          <cell r="S3622" t="str">
            <v/>
          </cell>
        </row>
        <row r="3623">
          <cell r="S3623" t="str">
            <v/>
          </cell>
        </row>
        <row r="3624">
          <cell r="S3624" t="str">
            <v/>
          </cell>
        </row>
        <row r="3625">
          <cell r="S3625" t="str">
            <v/>
          </cell>
        </row>
        <row r="3626">
          <cell r="S3626" t="str">
            <v/>
          </cell>
        </row>
        <row r="3627">
          <cell r="S3627" t="str">
            <v/>
          </cell>
        </row>
        <row r="3628">
          <cell r="S3628" t="str">
            <v/>
          </cell>
        </row>
        <row r="3629">
          <cell r="S3629" t="str">
            <v/>
          </cell>
        </row>
        <row r="3630">
          <cell r="S3630" t="str">
            <v/>
          </cell>
        </row>
        <row r="3631">
          <cell r="S3631" t="str">
            <v/>
          </cell>
        </row>
        <row r="3632">
          <cell r="S3632" t="str">
            <v/>
          </cell>
        </row>
        <row r="3633">
          <cell r="S3633" t="str">
            <v/>
          </cell>
        </row>
        <row r="3634">
          <cell r="S3634" t="str">
            <v/>
          </cell>
        </row>
        <row r="3635">
          <cell r="S3635" t="str">
            <v/>
          </cell>
        </row>
        <row r="3636">
          <cell r="S3636" t="str">
            <v/>
          </cell>
        </row>
        <row r="3637">
          <cell r="S3637" t="str">
            <v/>
          </cell>
        </row>
        <row r="3638">
          <cell r="S3638" t="str">
            <v/>
          </cell>
        </row>
        <row r="3639">
          <cell r="S3639" t="str">
            <v/>
          </cell>
        </row>
        <row r="3640">
          <cell r="S3640" t="str">
            <v/>
          </cell>
        </row>
        <row r="3641">
          <cell r="S3641" t="str">
            <v/>
          </cell>
        </row>
        <row r="3642">
          <cell r="S3642" t="str">
            <v/>
          </cell>
        </row>
        <row r="3643">
          <cell r="S3643" t="str">
            <v/>
          </cell>
        </row>
        <row r="3644">
          <cell r="S3644" t="str">
            <v/>
          </cell>
        </row>
        <row r="3645">
          <cell r="S3645" t="str">
            <v/>
          </cell>
        </row>
        <row r="3646">
          <cell r="S3646" t="str">
            <v/>
          </cell>
        </row>
        <row r="3647">
          <cell r="S3647" t="str">
            <v/>
          </cell>
        </row>
        <row r="3648">
          <cell r="S3648" t="str">
            <v/>
          </cell>
        </row>
        <row r="3649">
          <cell r="S3649" t="str">
            <v/>
          </cell>
        </row>
        <row r="3650">
          <cell r="S3650" t="str">
            <v/>
          </cell>
        </row>
        <row r="3651">
          <cell r="S3651" t="str">
            <v/>
          </cell>
        </row>
        <row r="3652">
          <cell r="S3652" t="str">
            <v/>
          </cell>
        </row>
        <row r="3653">
          <cell r="S3653" t="str">
            <v/>
          </cell>
        </row>
        <row r="3654">
          <cell r="S3654" t="str">
            <v/>
          </cell>
        </row>
        <row r="3655">
          <cell r="S3655" t="str">
            <v/>
          </cell>
        </row>
        <row r="3656">
          <cell r="S3656" t="str">
            <v/>
          </cell>
        </row>
        <row r="3657">
          <cell r="S3657" t="str">
            <v/>
          </cell>
        </row>
        <row r="3658">
          <cell r="S3658" t="str">
            <v/>
          </cell>
        </row>
        <row r="3659">
          <cell r="S3659" t="str">
            <v/>
          </cell>
        </row>
        <row r="3660">
          <cell r="S3660" t="str">
            <v/>
          </cell>
        </row>
        <row r="3661">
          <cell r="S3661" t="str">
            <v/>
          </cell>
        </row>
        <row r="3662">
          <cell r="S3662" t="str">
            <v/>
          </cell>
        </row>
        <row r="3663">
          <cell r="S3663" t="str">
            <v/>
          </cell>
        </row>
        <row r="3664">
          <cell r="S3664" t="str">
            <v/>
          </cell>
        </row>
        <row r="3665">
          <cell r="S3665" t="str">
            <v/>
          </cell>
        </row>
        <row r="3666">
          <cell r="S3666" t="str">
            <v/>
          </cell>
        </row>
        <row r="3667">
          <cell r="S3667" t="str">
            <v/>
          </cell>
        </row>
        <row r="3668">
          <cell r="S3668" t="str">
            <v/>
          </cell>
        </row>
        <row r="3669">
          <cell r="S3669" t="str">
            <v/>
          </cell>
        </row>
        <row r="3670">
          <cell r="S3670" t="str">
            <v/>
          </cell>
        </row>
        <row r="3671">
          <cell r="S3671" t="str">
            <v/>
          </cell>
        </row>
        <row r="3672">
          <cell r="S3672" t="str">
            <v/>
          </cell>
        </row>
        <row r="3673">
          <cell r="S3673" t="str">
            <v/>
          </cell>
        </row>
        <row r="3674">
          <cell r="S3674" t="str">
            <v/>
          </cell>
        </row>
        <row r="3675">
          <cell r="S3675" t="str">
            <v/>
          </cell>
        </row>
        <row r="3676">
          <cell r="S3676" t="str">
            <v/>
          </cell>
        </row>
        <row r="3677">
          <cell r="S3677" t="str">
            <v/>
          </cell>
        </row>
        <row r="3678">
          <cell r="S3678" t="str">
            <v/>
          </cell>
        </row>
        <row r="3679">
          <cell r="S3679" t="str">
            <v/>
          </cell>
        </row>
        <row r="3680">
          <cell r="S3680" t="str">
            <v/>
          </cell>
        </row>
        <row r="3681">
          <cell r="S3681" t="str">
            <v/>
          </cell>
        </row>
        <row r="3682">
          <cell r="S3682" t="str">
            <v/>
          </cell>
        </row>
        <row r="3683">
          <cell r="S3683" t="str">
            <v/>
          </cell>
        </row>
        <row r="3684">
          <cell r="S3684" t="str">
            <v/>
          </cell>
        </row>
        <row r="3685">
          <cell r="S3685" t="str">
            <v/>
          </cell>
        </row>
        <row r="3686">
          <cell r="S3686" t="str">
            <v/>
          </cell>
        </row>
        <row r="3687">
          <cell r="S3687" t="str">
            <v/>
          </cell>
        </row>
        <row r="3688">
          <cell r="S3688" t="str">
            <v/>
          </cell>
        </row>
        <row r="3689">
          <cell r="S3689" t="str">
            <v/>
          </cell>
        </row>
        <row r="3690">
          <cell r="S3690" t="str">
            <v/>
          </cell>
        </row>
        <row r="3691">
          <cell r="S3691" t="str">
            <v/>
          </cell>
        </row>
        <row r="3692">
          <cell r="S3692" t="str">
            <v/>
          </cell>
        </row>
        <row r="3693">
          <cell r="S3693" t="str">
            <v/>
          </cell>
        </row>
        <row r="3694">
          <cell r="S3694" t="str">
            <v/>
          </cell>
        </row>
        <row r="3695">
          <cell r="S3695" t="str">
            <v/>
          </cell>
        </row>
        <row r="3696">
          <cell r="S3696" t="str">
            <v/>
          </cell>
        </row>
        <row r="3697">
          <cell r="S3697" t="str">
            <v/>
          </cell>
        </row>
        <row r="3698">
          <cell r="S3698" t="str">
            <v/>
          </cell>
        </row>
        <row r="3699">
          <cell r="S3699" t="str">
            <v/>
          </cell>
        </row>
        <row r="3700">
          <cell r="S3700" t="str">
            <v/>
          </cell>
        </row>
        <row r="3701">
          <cell r="S3701" t="str">
            <v/>
          </cell>
        </row>
        <row r="3702">
          <cell r="S3702" t="str">
            <v/>
          </cell>
        </row>
        <row r="3703">
          <cell r="S3703" t="str">
            <v/>
          </cell>
        </row>
        <row r="3704">
          <cell r="S3704" t="str">
            <v/>
          </cell>
        </row>
        <row r="3705">
          <cell r="S3705" t="str">
            <v/>
          </cell>
        </row>
        <row r="3706">
          <cell r="S3706" t="str">
            <v/>
          </cell>
        </row>
        <row r="3707">
          <cell r="S3707" t="str">
            <v/>
          </cell>
        </row>
        <row r="3708">
          <cell r="S3708" t="str">
            <v/>
          </cell>
        </row>
        <row r="3709">
          <cell r="S3709" t="str">
            <v/>
          </cell>
        </row>
        <row r="3710">
          <cell r="S3710" t="str">
            <v/>
          </cell>
        </row>
        <row r="3711">
          <cell r="S3711" t="str">
            <v/>
          </cell>
        </row>
        <row r="3712">
          <cell r="S3712" t="str">
            <v/>
          </cell>
        </row>
        <row r="3713">
          <cell r="S3713" t="str">
            <v/>
          </cell>
        </row>
        <row r="3714">
          <cell r="S3714" t="str">
            <v/>
          </cell>
        </row>
        <row r="3715">
          <cell r="S3715" t="str">
            <v/>
          </cell>
        </row>
        <row r="3716">
          <cell r="S3716" t="str">
            <v/>
          </cell>
        </row>
        <row r="3717">
          <cell r="S3717" t="str">
            <v/>
          </cell>
        </row>
        <row r="3718">
          <cell r="S3718" t="str">
            <v/>
          </cell>
        </row>
        <row r="3719">
          <cell r="S3719" t="str">
            <v/>
          </cell>
        </row>
        <row r="3720">
          <cell r="S3720" t="str">
            <v/>
          </cell>
        </row>
        <row r="3721">
          <cell r="S3721" t="str">
            <v/>
          </cell>
        </row>
        <row r="3722">
          <cell r="S3722" t="str">
            <v/>
          </cell>
        </row>
        <row r="3723">
          <cell r="S3723" t="str">
            <v/>
          </cell>
        </row>
        <row r="3724">
          <cell r="S3724" t="str">
            <v/>
          </cell>
        </row>
        <row r="3725">
          <cell r="S3725" t="str">
            <v/>
          </cell>
        </row>
        <row r="3726">
          <cell r="S3726" t="str">
            <v/>
          </cell>
        </row>
        <row r="3727">
          <cell r="S3727" t="str">
            <v/>
          </cell>
        </row>
        <row r="3728">
          <cell r="S3728" t="str">
            <v/>
          </cell>
        </row>
        <row r="3729">
          <cell r="S3729" t="str">
            <v/>
          </cell>
        </row>
        <row r="3730">
          <cell r="S3730" t="str">
            <v/>
          </cell>
        </row>
        <row r="3731">
          <cell r="S3731" t="str">
            <v/>
          </cell>
        </row>
        <row r="3732">
          <cell r="S3732" t="str">
            <v/>
          </cell>
        </row>
        <row r="3733">
          <cell r="S3733" t="str">
            <v/>
          </cell>
        </row>
        <row r="3734">
          <cell r="S3734" t="str">
            <v/>
          </cell>
        </row>
        <row r="3735">
          <cell r="S3735" t="str">
            <v/>
          </cell>
        </row>
        <row r="3736">
          <cell r="S3736" t="str">
            <v/>
          </cell>
        </row>
        <row r="3737">
          <cell r="S3737" t="str">
            <v/>
          </cell>
        </row>
        <row r="3738">
          <cell r="S3738" t="str">
            <v/>
          </cell>
        </row>
        <row r="3739">
          <cell r="S3739" t="str">
            <v/>
          </cell>
        </row>
        <row r="3740">
          <cell r="S3740" t="str">
            <v/>
          </cell>
        </row>
        <row r="3741">
          <cell r="S3741" t="str">
            <v/>
          </cell>
        </row>
        <row r="3742">
          <cell r="S3742" t="str">
            <v/>
          </cell>
        </row>
        <row r="3743">
          <cell r="S3743" t="str">
            <v/>
          </cell>
        </row>
        <row r="3744">
          <cell r="S3744" t="str">
            <v/>
          </cell>
        </row>
        <row r="3745">
          <cell r="S3745" t="str">
            <v/>
          </cell>
        </row>
        <row r="3746">
          <cell r="S3746" t="str">
            <v/>
          </cell>
        </row>
        <row r="3747">
          <cell r="S3747" t="str">
            <v/>
          </cell>
        </row>
        <row r="3748">
          <cell r="S3748" t="str">
            <v/>
          </cell>
        </row>
        <row r="3749">
          <cell r="S3749" t="str">
            <v/>
          </cell>
        </row>
        <row r="3750">
          <cell r="S3750" t="str">
            <v/>
          </cell>
        </row>
        <row r="3751">
          <cell r="S3751" t="str">
            <v/>
          </cell>
        </row>
        <row r="3752">
          <cell r="S3752" t="str">
            <v/>
          </cell>
        </row>
        <row r="3753">
          <cell r="S3753" t="str">
            <v/>
          </cell>
        </row>
        <row r="3754">
          <cell r="S3754" t="str">
            <v/>
          </cell>
        </row>
        <row r="3755">
          <cell r="S3755" t="str">
            <v/>
          </cell>
        </row>
        <row r="3756">
          <cell r="S3756" t="str">
            <v/>
          </cell>
        </row>
        <row r="3757">
          <cell r="S3757" t="str">
            <v/>
          </cell>
        </row>
        <row r="3758">
          <cell r="S3758" t="str">
            <v/>
          </cell>
        </row>
        <row r="3759">
          <cell r="S3759" t="str">
            <v/>
          </cell>
        </row>
        <row r="3760">
          <cell r="S3760" t="str">
            <v/>
          </cell>
        </row>
        <row r="3761">
          <cell r="S3761" t="str">
            <v/>
          </cell>
        </row>
        <row r="3762">
          <cell r="S3762" t="str">
            <v/>
          </cell>
        </row>
        <row r="3763">
          <cell r="S3763" t="str">
            <v/>
          </cell>
        </row>
        <row r="3764">
          <cell r="S3764" t="str">
            <v/>
          </cell>
        </row>
        <row r="3765">
          <cell r="S3765" t="str">
            <v/>
          </cell>
        </row>
        <row r="3766">
          <cell r="S3766" t="str">
            <v/>
          </cell>
        </row>
        <row r="3767">
          <cell r="S3767" t="str">
            <v/>
          </cell>
        </row>
        <row r="3768">
          <cell r="S3768" t="str">
            <v/>
          </cell>
        </row>
        <row r="3769">
          <cell r="S3769" t="str">
            <v/>
          </cell>
        </row>
        <row r="3770">
          <cell r="S3770" t="str">
            <v/>
          </cell>
        </row>
        <row r="3771">
          <cell r="S3771" t="str">
            <v/>
          </cell>
        </row>
        <row r="3772">
          <cell r="S3772" t="str">
            <v/>
          </cell>
        </row>
        <row r="3773">
          <cell r="S3773" t="str">
            <v/>
          </cell>
        </row>
        <row r="3774">
          <cell r="S3774" t="str">
            <v/>
          </cell>
        </row>
        <row r="3775">
          <cell r="S3775" t="str">
            <v/>
          </cell>
        </row>
        <row r="3776">
          <cell r="S3776" t="str">
            <v/>
          </cell>
        </row>
        <row r="3777">
          <cell r="S3777" t="str">
            <v/>
          </cell>
        </row>
        <row r="3778">
          <cell r="S3778" t="str">
            <v/>
          </cell>
        </row>
        <row r="3779">
          <cell r="S3779" t="str">
            <v/>
          </cell>
        </row>
        <row r="3780">
          <cell r="S3780" t="str">
            <v/>
          </cell>
        </row>
        <row r="3781">
          <cell r="S3781" t="str">
            <v/>
          </cell>
        </row>
        <row r="3782">
          <cell r="S3782" t="str">
            <v/>
          </cell>
        </row>
        <row r="3783">
          <cell r="S3783" t="str">
            <v/>
          </cell>
        </row>
        <row r="3784">
          <cell r="S3784" t="str">
            <v/>
          </cell>
        </row>
        <row r="3785">
          <cell r="S3785" t="str">
            <v/>
          </cell>
        </row>
        <row r="3786">
          <cell r="S3786" t="str">
            <v/>
          </cell>
        </row>
        <row r="3787">
          <cell r="S3787" t="str">
            <v/>
          </cell>
        </row>
        <row r="3788">
          <cell r="S3788" t="str">
            <v/>
          </cell>
        </row>
        <row r="3789">
          <cell r="S3789" t="str">
            <v/>
          </cell>
        </row>
        <row r="3790">
          <cell r="S3790" t="str">
            <v/>
          </cell>
        </row>
        <row r="3791">
          <cell r="S3791" t="str">
            <v/>
          </cell>
        </row>
        <row r="3792">
          <cell r="S3792" t="str">
            <v/>
          </cell>
        </row>
        <row r="3793">
          <cell r="S3793" t="str">
            <v/>
          </cell>
        </row>
        <row r="3794">
          <cell r="S3794" t="str">
            <v/>
          </cell>
        </row>
        <row r="3795">
          <cell r="S3795" t="str">
            <v/>
          </cell>
        </row>
        <row r="3796">
          <cell r="S3796" t="str">
            <v/>
          </cell>
        </row>
        <row r="3797">
          <cell r="S3797" t="str">
            <v/>
          </cell>
        </row>
        <row r="3798">
          <cell r="S3798" t="str">
            <v/>
          </cell>
        </row>
        <row r="3799">
          <cell r="S3799" t="str">
            <v/>
          </cell>
        </row>
        <row r="3800">
          <cell r="S3800" t="str">
            <v/>
          </cell>
        </row>
        <row r="3801">
          <cell r="S3801" t="str">
            <v/>
          </cell>
        </row>
        <row r="3802">
          <cell r="S3802" t="str">
            <v/>
          </cell>
        </row>
        <row r="3803">
          <cell r="S3803" t="str">
            <v/>
          </cell>
        </row>
        <row r="3804">
          <cell r="S3804" t="str">
            <v/>
          </cell>
        </row>
        <row r="3805">
          <cell r="S3805" t="str">
            <v/>
          </cell>
        </row>
        <row r="3806">
          <cell r="S3806" t="str">
            <v/>
          </cell>
        </row>
        <row r="3807">
          <cell r="S3807" t="str">
            <v/>
          </cell>
        </row>
        <row r="3808">
          <cell r="S3808" t="str">
            <v/>
          </cell>
        </row>
        <row r="3809">
          <cell r="S3809" t="str">
            <v/>
          </cell>
        </row>
        <row r="3810">
          <cell r="S3810" t="str">
            <v/>
          </cell>
        </row>
        <row r="3811">
          <cell r="S3811" t="str">
            <v/>
          </cell>
        </row>
        <row r="3812">
          <cell r="S3812" t="str">
            <v/>
          </cell>
        </row>
        <row r="3813">
          <cell r="S3813" t="str">
            <v/>
          </cell>
        </row>
        <row r="3814">
          <cell r="S3814" t="str">
            <v/>
          </cell>
        </row>
        <row r="3815">
          <cell r="S3815" t="str">
            <v/>
          </cell>
        </row>
        <row r="3816">
          <cell r="S3816" t="str">
            <v/>
          </cell>
        </row>
        <row r="3817">
          <cell r="S3817" t="str">
            <v/>
          </cell>
        </row>
        <row r="3818">
          <cell r="S3818" t="str">
            <v/>
          </cell>
        </row>
        <row r="3819">
          <cell r="S3819" t="str">
            <v/>
          </cell>
        </row>
        <row r="3820">
          <cell r="S3820" t="str">
            <v/>
          </cell>
        </row>
        <row r="3821">
          <cell r="S3821" t="str">
            <v/>
          </cell>
        </row>
        <row r="3822">
          <cell r="S3822" t="str">
            <v/>
          </cell>
        </row>
        <row r="3823">
          <cell r="S3823" t="str">
            <v/>
          </cell>
        </row>
        <row r="3824">
          <cell r="S3824" t="str">
            <v/>
          </cell>
        </row>
        <row r="3825">
          <cell r="S3825" t="str">
            <v/>
          </cell>
        </row>
        <row r="3826">
          <cell r="S3826" t="str">
            <v/>
          </cell>
        </row>
        <row r="3827">
          <cell r="S3827" t="str">
            <v/>
          </cell>
        </row>
        <row r="3828">
          <cell r="S3828" t="str">
            <v/>
          </cell>
        </row>
        <row r="3829">
          <cell r="S3829" t="str">
            <v/>
          </cell>
        </row>
        <row r="3830">
          <cell r="S3830" t="str">
            <v/>
          </cell>
        </row>
        <row r="3831">
          <cell r="S3831" t="str">
            <v/>
          </cell>
        </row>
        <row r="3832">
          <cell r="S3832" t="str">
            <v/>
          </cell>
        </row>
        <row r="3833">
          <cell r="S3833" t="str">
            <v/>
          </cell>
        </row>
        <row r="3834">
          <cell r="S3834" t="str">
            <v/>
          </cell>
        </row>
        <row r="3835">
          <cell r="S3835" t="str">
            <v/>
          </cell>
        </row>
        <row r="3836">
          <cell r="S3836" t="str">
            <v/>
          </cell>
        </row>
        <row r="3837">
          <cell r="S3837" t="str">
            <v/>
          </cell>
        </row>
        <row r="3838">
          <cell r="S3838" t="str">
            <v/>
          </cell>
        </row>
        <row r="3839">
          <cell r="S3839" t="str">
            <v/>
          </cell>
        </row>
        <row r="3840">
          <cell r="S3840" t="str">
            <v/>
          </cell>
        </row>
        <row r="3841">
          <cell r="S3841" t="str">
            <v/>
          </cell>
        </row>
        <row r="3842">
          <cell r="S3842" t="str">
            <v/>
          </cell>
        </row>
        <row r="3843">
          <cell r="S3843" t="str">
            <v/>
          </cell>
        </row>
        <row r="3844">
          <cell r="S3844" t="str">
            <v/>
          </cell>
        </row>
        <row r="3845">
          <cell r="S3845" t="str">
            <v/>
          </cell>
        </row>
        <row r="3846">
          <cell r="S3846" t="str">
            <v/>
          </cell>
        </row>
        <row r="3847">
          <cell r="S3847" t="str">
            <v/>
          </cell>
        </row>
        <row r="3848">
          <cell r="S3848" t="str">
            <v/>
          </cell>
        </row>
        <row r="3849">
          <cell r="S3849" t="str">
            <v/>
          </cell>
        </row>
        <row r="3850">
          <cell r="S3850" t="str">
            <v/>
          </cell>
        </row>
        <row r="3851">
          <cell r="S3851" t="str">
            <v/>
          </cell>
        </row>
        <row r="3852">
          <cell r="S3852" t="str">
            <v/>
          </cell>
        </row>
        <row r="3853">
          <cell r="S3853" t="str">
            <v/>
          </cell>
        </row>
        <row r="3854">
          <cell r="S3854" t="str">
            <v/>
          </cell>
        </row>
        <row r="3855">
          <cell r="S3855" t="str">
            <v/>
          </cell>
        </row>
        <row r="3856">
          <cell r="S3856" t="str">
            <v/>
          </cell>
        </row>
        <row r="3857">
          <cell r="S3857" t="str">
            <v/>
          </cell>
        </row>
        <row r="3858">
          <cell r="S3858" t="str">
            <v/>
          </cell>
        </row>
        <row r="3859">
          <cell r="S3859" t="str">
            <v/>
          </cell>
        </row>
        <row r="3860">
          <cell r="S3860" t="str">
            <v/>
          </cell>
        </row>
        <row r="3861">
          <cell r="S3861" t="str">
            <v/>
          </cell>
        </row>
        <row r="3862">
          <cell r="S3862" t="str">
            <v/>
          </cell>
        </row>
        <row r="3863">
          <cell r="S3863" t="str">
            <v/>
          </cell>
        </row>
        <row r="3864">
          <cell r="S3864" t="str">
            <v/>
          </cell>
        </row>
        <row r="3865">
          <cell r="S3865" t="str">
            <v/>
          </cell>
        </row>
        <row r="3866">
          <cell r="S3866" t="str">
            <v/>
          </cell>
        </row>
        <row r="3867">
          <cell r="S3867" t="str">
            <v/>
          </cell>
        </row>
        <row r="3868">
          <cell r="S3868" t="str">
            <v/>
          </cell>
        </row>
        <row r="3869">
          <cell r="S3869" t="str">
            <v/>
          </cell>
        </row>
        <row r="3870">
          <cell r="S3870" t="str">
            <v/>
          </cell>
        </row>
        <row r="3871">
          <cell r="S3871" t="str">
            <v/>
          </cell>
        </row>
        <row r="3872">
          <cell r="S3872" t="str">
            <v/>
          </cell>
        </row>
        <row r="3873">
          <cell r="S3873" t="str">
            <v/>
          </cell>
        </row>
        <row r="3874">
          <cell r="S3874" t="str">
            <v/>
          </cell>
        </row>
        <row r="3875">
          <cell r="S3875" t="str">
            <v/>
          </cell>
        </row>
        <row r="3876">
          <cell r="S3876" t="str">
            <v/>
          </cell>
        </row>
        <row r="3877">
          <cell r="S3877" t="str">
            <v/>
          </cell>
        </row>
        <row r="3878">
          <cell r="S3878" t="str">
            <v/>
          </cell>
        </row>
        <row r="3879">
          <cell r="S3879" t="str">
            <v/>
          </cell>
        </row>
        <row r="3880">
          <cell r="S3880" t="str">
            <v/>
          </cell>
        </row>
        <row r="3881">
          <cell r="S3881" t="str">
            <v/>
          </cell>
        </row>
        <row r="3882">
          <cell r="S3882" t="str">
            <v/>
          </cell>
        </row>
        <row r="3883">
          <cell r="S3883" t="str">
            <v/>
          </cell>
        </row>
        <row r="3884">
          <cell r="S3884" t="str">
            <v/>
          </cell>
        </row>
        <row r="3885">
          <cell r="S3885" t="str">
            <v/>
          </cell>
        </row>
        <row r="3886">
          <cell r="S3886" t="str">
            <v/>
          </cell>
        </row>
        <row r="3887">
          <cell r="S3887" t="str">
            <v/>
          </cell>
        </row>
        <row r="3888">
          <cell r="S3888" t="str">
            <v/>
          </cell>
        </row>
        <row r="3889">
          <cell r="S3889" t="str">
            <v/>
          </cell>
        </row>
        <row r="3890">
          <cell r="S3890" t="str">
            <v/>
          </cell>
        </row>
        <row r="3891">
          <cell r="S3891" t="str">
            <v/>
          </cell>
        </row>
        <row r="3892">
          <cell r="S3892" t="str">
            <v/>
          </cell>
        </row>
        <row r="3893">
          <cell r="S3893" t="str">
            <v/>
          </cell>
        </row>
        <row r="3894">
          <cell r="S3894" t="str">
            <v/>
          </cell>
        </row>
        <row r="3895">
          <cell r="S3895" t="str">
            <v/>
          </cell>
        </row>
        <row r="3896">
          <cell r="S3896" t="str">
            <v/>
          </cell>
        </row>
        <row r="3897">
          <cell r="S3897" t="str">
            <v/>
          </cell>
        </row>
        <row r="3898">
          <cell r="S3898" t="str">
            <v/>
          </cell>
        </row>
        <row r="3899">
          <cell r="S3899" t="str">
            <v/>
          </cell>
        </row>
        <row r="3900">
          <cell r="S3900" t="str">
            <v/>
          </cell>
        </row>
        <row r="3901">
          <cell r="S3901" t="str">
            <v/>
          </cell>
        </row>
        <row r="3902">
          <cell r="S3902" t="str">
            <v/>
          </cell>
        </row>
        <row r="3903">
          <cell r="S3903" t="str">
            <v/>
          </cell>
        </row>
        <row r="3904">
          <cell r="S3904" t="str">
            <v/>
          </cell>
        </row>
        <row r="3905">
          <cell r="S3905" t="str">
            <v/>
          </cell>
        </row>
        <row r="3906">
          <cell r="S3906" t="str">
            <v/>
          </cell>
        </row>
        <row r="3907">
          <cell r="S3907" t="str">
            <v/>
          </cell>
        </row>
        <row r="3908">
          <cell r="S3908" t="str">
            <v/>
          </cell>
        </row>
        <row r="3909">
          <cell r="S3909" t="str">
            <v/>
          </cell>
        </row>
        <row r="3910">
          <cell r="S3910" t="str">
            <v/>
          </cell>
        </row>
        <row r="3911">
          <cell r="S3911" t="str">
            <v/>
          </cell>
        </row>
        <row r="3912">
          <cell r="S3912" t="str">
            <v/>
          </cell>
        </row>
        <row r="3913">
          <cell r="S3913" t="str">
            <v/>
          </cell>
        </row>
        <row r="3914">
          <cell r="S3914" t="str">
            <v/>
          </cell>
        </row>
        <row r="3915">
          <cell r="S3915" t="str">
            <v/>
          </cell>
        </row>
        <row r="3916">
          <cell r="S3916" t="str">
            <v/>
          </cell>
        </row>
        <row r="3917">
          <cell r="S3917" t="str">
            <v/>
          </cell>
        </row>
        <row r="3918">
          <cell r="S3918" t="str">
            <v/>
          </cell>
        </row>
        <row r="3919">
          <cell r="S3919" t="str">
            <v/>
          </cell>
        </row>
        <row r="3920">
          <cell r="S3920" t="str">
            <v/>
          </cell>
        </row>
        <row r="3921">
          <cell r="S3921" t="str">
            <v/>
          </cell>
        </row>
        <row r="3922">
          <cell r="S3922" t="str">
            <v/>
          </cell>
        </row>
        <row r="3923">
          <cell r="S3923" t="str">
            <v/>
          </cell>
        </row>
        <row r="3924">
          <cell r="S3924" t="str">
            <v/>
          </cell>
        </row>
        <row r="3925">
          <cell r="S3925" t="str">
            <v/>
          </cell>
        </row>
        <row r="3926">
          <cell r="S3926" t="str">
            <v/>
          </cell>
        </row>
        <row r="3927">
          <cell r="S3927" t="str">
            <v/>
          </cell>
        </row>
        <row r="3928">
          <cell r="S3928" t="str">
            <v/>
          </cell>
        </row>
        <row r="3929">
          <cell r="S3929" t="str">
            <v/>
          </cell>
        </row>
        <row r="3930">
          <cell r="S3930" t="str">
            <v/>
          </cell>
        </row>
        <row r="3931">
          <cell r="S3931" t="str">
            <v/>
          </cell>
        </row>
        <row r="3932">
          <cell r="S3932" t="str">
            <v/>
          </cell>
        </row>
        <row r="3933">
          <cell r="S3933" t="str">
            <v/>
          </cell>
        </row>
        <row r="3934">
          <cell r="S3934" t="str">
            <v/>
          </cell>
        </row>
        <row r="3935">
          <cell r="S3935" t="str">
            <v/>
          </cell>
        </row>
        <row r="3936">
          <cell r="S3936" t="str">
            <v/>
          </cell>
        </row>
        <row r="3937">
          <cell r="S3937" t="str">
            <v/>
          </cell>
        </row>
        <row r="3938">
          <cell r="S3938" t="str">
            <v/>
          </cell>
        </row>
        <row r="3939">
          <cell r="S3939" t="str">
            <v/>
          </cell>
        </row>
        <row r="3940">
          <cell r="S3940" t="str">
            <v/>
          </cell>
        </row>
        <row r="3941">
          <cell r="S3941" t="str">
            <v/>
          </cell>
        </row>
        <row r="3942">
          <cell r="S3942" t="str">
            <v/>
          </cell>
        </row>
        <row r="3943">
          <cell r="S3943" t="str">
            <v/>
          </cell>
        </row>
        <row r="3944">
          <cell r="S3944" t="str">
            <v/>
          </cell>
        </row>
        <row r="3945">
          <cell r="S3945" t="str">
            <v/>
          </cell>
        </row>
        <row r="3946">
          <cell r="S3946" t="str">
            <v/>
          </cell>
        </row>
        <row r="3947">
          <cell r="S3947" t="str">
            <v/>
          </cell>
        </row>
        <row r="3948">
          <cell r="S3948" t="str">
            <v/>
          </cell>
        </row>
        <row r="3949">
          <cell r="S3949" t="str">
            <v/>
          </cell>
        </row>
        <row r="3950">
          <cell r="S3950" t="str">
            <v/>
          </cell>
        </row>
        <row r="3951">
          <cell r="S3951" t="str">
            <v/>
          </cell>
        </row>
        <row r="3952">
          <cell r="S3952" t="str">
            <v/>
          </cell>
        </row>
        <row r="3953">
          <cell r="S3953" t="str">
            <v/>
          </cell>
        </row>
        <row r="3954">
          <cell r="S3954" t="str">
            <v/>
          </cell>
        </row>
        <row r="3955">
          <cell r="S3955" t="str">
            <v/>
          </cell>
        </row>
        <row r="3956">
          <cell r="S3956" t="str">
            <v/>
          </cell>
        </row>
        <row r="3957">
          <cell r="S3957" t="str">
            <v/>
          </cell>
        </row>
        <row r="3958">
          <cell r="S3958" t="str">
            <v/>
          </cell>
        </row>
        <row r="3959">
          <cell r="S3959" t="str">
            <v/>
          </cell>
        </row>
        <row r="3960">
          <cell r="S3960" t="str">
            <v/>
          </cell>
        </row>
        <row r="3961">
          <cell r="S3961" t="str">
            <v/>
          </cell>
        </row>
        <row r="3962">
          <cell r="S3962" t="str">
            <v/>
          </cell>
        </row>
        <row r="3963">
          <cell r="S3963" t="str">
            <v/>
          </cell>
        </row>
        <row r="3964">
          <cell r="S3964" t="str">
            <v/>
          </cell>
        </row>
        <row r="3965">
          <cell r="S3965" t="str">
            <v/>
          </cell>
        </row>
        <row r="3966">
          <cell r="S3966" t="str">
            <v/>
          </cell>
        </row>
        <row r="3967">
          <cell r="S3967" t="str">
            <v/>
          </cell>
        </row>
        <row r="3968">
          <cell r="S3968" t="str">
            <v/>
          </cell>
        </row>
        <row r="3969">
          <cell r="S3969" t="str">
            <v/>
          </cell>
        </row>
        <row r="3970">
          <cell r="S3970" t="str">
            <v/>
          </cell>
        </row>
        <row r="3971">
          <cell r="S3971" t="str">
            <v/>
          </cell>
        </row>
        <row r="3972">
          <cell r="S3972" t="str">
            <v/>
          </cell>
        </row>
        <row r="3973">
          <cell r="S3973" t="str">
            <v/>
          </cell>
        </row>
        <row r="3974">
          <cell r="S3974" t="str">
            <v/>
          </cell>
        </row>
        <row r="3975">
          <cell r="S3975" t="str">
            <v/>
          </cell>
        </row>
        <row r="3976">
          <cell r="S3976" t="str">
            <v/>
          </cell>
        </row>
        <row r="3977">
          <cell r="S3977" t="str">
            <v/>
          </cell>
        </row>
        <row r="3978">
          <cell r="S3978" t="str">
            <v/>
          </cell>
        </row>
        <row r="3979">
          <cell r="S3979" t="str">
            <v/>
          </cell>
        </row>
        <row r="3980">
          <cell r="S3980" t="str">
            <v/>
          </cell>
        </row>
        <row r="3981">
          <cell r="S3981" t="str">
            <v/>
          </cell>
        </row>
        <row r="3982">
          <cell r="S3982" t="str">
            <v/>
          </cell>
        </row>
        <row r="3983">
          <cell r="S3983" t="str">
            <v/>
          </cell>
        </row>
        <row r="3984">
          <cell r="S3984" t="str">
            <v/>
          </cell>
        </row>
        <row r="3985">
          <cell r="S3985" t="str">
            <v/>
          </cell>
        </row>
        <row r="3986">
          <cell r="S3986" t="str">
            <v/>
          </cell>
        </row>
        <row r="3987">
          <cell r="S3987" t="str">
            <v/>
          </cell>
        </row>
        <row r="3988">
          <cell r="S3988" t="str">
            <v/>
          </cell>
        </row>
        <row r="3989">
          <cell r="S3989" t="str">
            <v/>
          </cell>
        </row>
        <row r="3990">
          <cell r="S3990" t="str">
            <v/>
          </cell>
        </row>
        <row r="3991">
          <cell r="S3991" t="str">
            <v/>
          </cell>
        </row>
        <row r="3992">
          <cell r="S3992" t="str">
            <v/>
          </cell>
        </row>
        <row r="3993">
          <cell r="S3993" t="str">
            <v/>
          </cell>
        </row>
        <row r="3994">
          <cell r="S3994" t="str">
            <v/>
          </cell>
        </row>
        <row r="3995">
          <cell r="S3995" t="str">
            <v/>
          </cell>
        </row>
        <row r="3996">
          <cell r="S3996" t="str">
            <v/>
          </cell>
        </row>
        <row r="3997">
          <cell r="S3997" t="str">
            <v/>
          </cell>
        </row>
        <row r="3998">
          <cell r="S3998" t="str">
            <v/>
          </cell>
        </row>
        <row r="3999">
          <cell r="S3999" t="str">
            <v/>
          </cell>
        </row>
        <row r="4000">
          <cell r="S4000" t="str">
            <v/>
          </cell>
        </row>
        <row r="4001">
          <cell r="S4001" t="str">
            <v/>
          </cell>
        </row>
        <row r="4002">
          <cell r="S4002" t="str">
            <v/>
          </cell>
        </row>
        <row r="4003">
          <cell r="S4003" t="str">
            <v/>
          </cell>
        </row>
        <row r="4004">
          <cell r="S4004" t="str">
            <v/>
          </cell>
        </row>
        <row r="4005">
          <cell r="S4005" t="str">
            <v/>
          </cell>
        </row>
        <row r="4006">
          <cell r="S4006" t="str">
            <v/>
          </cell>
        </row>
        <row r="4007">
          <cell r="S4007" t="str">
            <v/>
          </cell>
        </row>
        <row r="4008">
          <cell r="S4008" t="str">
            <v/>
          </cell>
        </row>
        <row r="4009">
          <cell r="S4009" t="str">
            <v/>
          </cell>
        </row>
        <row r="4010">
          <cell r="S4010" t="str">
            <v/>
          </cell>
        </row>
        <row r="4011">
          <cell r="S4011" t="str">
            <v/>
          </cell>
        </row>
        <row r="4012">
          <cell r="S4012" t="str">
            <v/>
          </cell>
        </row>
        <row r="4013">
          <cell r="S4013" t="str">
            <v/>
          </cell>
        </row>
        <row r="4014">
          <cell r="S4014" t="str">
            <v/>
          </cell>
        </row>
        <row r="4015">
          <cell r="S4015" t="str">
            <v/>
          </cell>
        </row>
        <row r="4016">
          <cell r="S4016" t="str">
            <v/>
          </cell>
        </row>
        <row r="4017">
          <cell r="S4017" t="str">
            <v/>
          </cell>
        </row>
        <row r="4018">
          <cell r="S4018" t="str">
            <v/>
          </cell>
        </row>
        <row r="4019">
          <cell r="S4019" t="str">
            <v/>
          </cell>
        </row>
        <row r="4020">
          <cell r="S4020" t="str">
            <v/>
          </cell>
        </row>
        <row r="4021">
          <cell r="S4021" t="str">
            <v/>
          </cell>
        </row>
        <row r="4022">
          <cell r="S4022" t="str">
            <v/>
          </cell>
        </row>
        <row r="4023">
          <cell r="S4023" t="str">
            <v/>
          </cell>
        </row>
        <row r="4024">
          <cell r="S4024" t="str">
            <v/>
          </cell>
        </row>
        <row r="4025">
          <cell r="S4025" t="str">
            <v/>
          </cell>
        </row>
        <row r="4026">
          <cell r="S4026" t="str">
            <v/>
          </cell>
        </row>
        <row r="4027">
          <cell r="S4027" t="str">
            <v/>
          </cell>
        </row>
        <row r="4028">
          <cell r="S4028" t="str">
            <v/>
          </cell>
        </row>
        <row r="4029">
          <cell r="S4029" t="str">
            <v/>
          </cell>
        </row>
        <row r="4030">
          <cell r="S4030" t="str">
            <v/>
          </cell>
        </row>
        <row r="4031">
          <cell r="S4031" t="str">
            <v/>
          </cell>
        </row>
        <row r="4032">
          <cell r="S4032" t="str">
            <v/>
          </cell>
        </row>
        <row r="4033">
          <cell r="S4033" t="str">
            <v/>
          </cell>
        </row>
        <row r="4034">
          <cell r="S4034" t="str">
            <v/>
          </cell>
        </row>
        <row r="4035">
          <cell r="S4035" t="str">
            <v/>
          </cell>
        </row>
        <row r="4036">
          <cell r="S4036" t="str">
            <v/>
          </cell>
        </row>
        <row r="4037">
          <cell r="S4037" t="str">
            <v/>
          </cell>
        </row>
        <row r="4038">
          <cell r="S4038" t="str">
            <v/>
          </cell>
        </row>
        <row r="4039">
          <cell r="S4039" t="str">
            <v/>
          </cell>
        </row>
        <row r="4040">
          <cell r="S4040" t="str">
            <v/>
          </cell>
        </row>
        <row r="4041">
          <cell r="S4041" t="str">
            <v/>
          </cell>
        </row>
        <row r="4042">
          <cell r="S4042" t="str">
            <v/>
          </cell>
        </row>
        <row r="4043">
          <cell r="S4043" t="str">
            <v/>
          </cell>
        </row>
        <row r="4044">
          <cell r="S4044" t="str">
            <v/>
          </cell>
        </row>
        <row r="4045">
          <cell r="S4045" t="str">
            <v/>
          </cell>
        </row>
        <row r="4046">
          <cell r="S4046" t="str">
            <v/>
          </cell>
        </row>
        <row r="4047">
          <cell r="S4047" t="str">
            <v/>
          </cell>
        </row>
        <row r="4048">
          <cell r="S4048" t="str">
            <v/>
          </cell>
        </row>
        <row r="4049">
          <cell r="S4049" t="str">
            <v/>
          </cell>
        </row>
        <row r="4050">
          <cell r="S4050" t="str">
            <v/>
          </cell>
        </row>
        <row r="4051">
          <cell r="S4051" t="str">
            <v/>
          </cell>
        </row>
        <row r="4052">
          <cell r="S4052" t="str">
            <v/>
          </cell>
        </row>
        <row r="4053">
          <cell r="S4053" t="str">
            <v/>
          </cell>
        </row>
        <row r="4054">
          <cell r="S4054" t="str">
            <v/>
          </cell>
        </row>
        <row r="4055">
          <cell r="S4055" t="str">
            <v/>
          </cell>
        </row>
        <row r="4056">
          <cell r="S4056" t="str">
            <v/>
          </cell>
        </row>
        <row r="4057">
          <cell r="S4057" t="str">
            <v/>
          </cell>
        </row>
        <row r="4058">
          <cell r="S4058" t="str">
            <v/>
          </cell>
        </row>
        <row r="4059">
          <cell r="S4059" t="str">
            <v/>
          </cell>
        </row>
        <row r="4060">
          <cell r="S4060" t="str">
            <v/>
          </cell>
        </row>
        <row r="4061">
          <cell r="S4061" t="str">
            <v/>
          </cell>
        </row>
        <row r="4062">
          <cell r="S4062" t="str">
            <v/>
          </cell>
        </row>
        <row r="4063">
          <cell r="S4063" t="str">
            <v/>
          </cell>
        </row>
        <row r="4064">
          <cell r="S4064" t="str">
            <v/>
          </cell>
        </row>
        <row r="4065">
          <cell r="S4065" t="str">
            <v/>
          </cell>
        </row>
        <row r="4066">
          <cell r="S4066" t="str">
            <v/>
          </cell>
        </row>
        <row r="4067">
          <cell r="S4067" t="str">
            <v/>
          </cell>
        </row>
        <row r="4068">
          <cell r="S4068" t="str">
            <v/>
          </cell>
        </row>
        <row r="4069">
          <cell r="S4069" t="str">
            <v/>
          </cell>
        </row>
        <row r="4070">
          <cell r="S4070" t="str">
            <v/>
          </cell>
        </row>
        <row r="4071">
          <cell r="S4071" t="str">
            <v/>
          </cell>
        </row>
        <row r="4072">
          <cell r="S4072" t="str">
            <v/>
          </cell>
        </row>
        <row r="4073">
          <cell r="S4073" t="str">
            <v/>
          </cell>
        </row>
        <row r="4074">
          <cell r="S4074" t="str">
            <v/>
          </cell>
        </row>
        <row r="4075">
          <cell r="S4075" t="str">
            <v/>
          </cell>
        </row>
        <row r="4076">
          <cell r="S4076" t="str">
            <v/>
          </cell>
        </row>
        <row r="4077">
          <cell r="S4077" t="str">
            <v/>
          </cell>
        </row>
        <row r="4078">
          <cell r="S4078" t="str">
            <v/>
          </cell>
        </row>
        <row r="4079">
          <cell r="S4079" t="str">
            <v/>
          </cell>
        </row>
        <row r="4080">
          <cell r="S4080" t="str">
            <v/>
          </cell>
        </row>
        <row r="4081">
          <cell r="S4081" t="str">
            <v/>
          </cell>
        </row>
        <row r="4082">
          <cell r="S4082" t="str">
            <v/>
          </cell>
        </row>
        <row r="4083">
          <cell r="S4083" t="str">
            <v/>
          </cell>
        </row>
        <row r="4084">
          <cell r="S4084" t="str">
            <v/>
          </cell>
        </row>
        <row r="4085">
          <cell r="S4085" t="str">
            <v/>
          </cell>
        </row>
        <row r="4086">
          <cell r="S4086" t="str">
            <v/>
          </cell>
        </row>
        <row r="4087">
          <cell r="S4087" t="str">
            <v/>
          </cell>
        </row>
        <row r="4088">
          <cell r="S4088" t="str">
            <v/>
          </cell>
        </row>
        <row r="4089">
          <cell r="S4089" t="str">
            <v/>
          </cell>
        </row>
        <row r="4090">
          <cell r="S4090" t="str">
            <v/>
          </cell>
        </row>
        <row r="4091">
          <cell r="S4091" t="str">
            <v/>
          </cell>
        </row>
        <row r="4092">
          <cell r="S4092" t="str">
            <v/>
          </cell>
        </row>
        <row r="4093">
          <cell r="S4093" t="str">
            <v/>
          </cell>
        </row>
        <row r="4094">
          <cell r="S4094" t="str">
            <v/>
          </cell>
        </row>
        <row r="4095">
          <cell r="S4095" t="str">
            <v/>
          </cell>
        </row>
        <row r="4096">
          <cell r="S4096" t="str">
            <v/>
          </cell>
        </row>
        <row r="4097">
          <cell r="S4097" t="str">
            <v/>
          </cell>
        </row>
        <row r="4098">
          <cell r="S4098" t="str">
            <v/>
          </cell>
        </row>
        <row r="4099">
          <cell r="S4099" t="str">
            <v/>
          </cell>
        </row>
        <row r="4100">
          <cell r="S4100" t="str">
            <v/>
          </cell>
        </row>
        <row r="4101">
          <cell r="S4101" t="str">
            <v/>
          </cell>
        </row>
        <row r="4102">
          <cell r="S4102" t="str">
            <v/>
          </cell>
        </row>
        <row r="4103">
          <cell r="S4103" t="str">
            <v/>
          </cell>
        </row>
        <row r="4104">
          <cell r="S4104" t="str">
            <v/>
          </cell>
        </row>
        <row r="4105">
          <cell r="S4105" t="str">
            <v/>
          </cell>
        </row>
        <row r="4106">
          <cell r="S4106" t="str">
            <v/>
          </cell>
        </row>
        <row r="4107">
          <cell r="S4107" t="str">
            <v/>
          </cell>
        </row>
        <row r="4108">
          <cell r="S4108" t="str">
            <v/>
          </cell>
        </row>
        <row r="4109">
          <cell r="S4109" t="str">
            <v/>
          </cell>
        </row>
        <row r="4110">
          <cell r="S4110" t="str">
            <v/>
          </cell>
        </row>
        <row r="4111">
          <cell r="S4111" t="str">
            <v/>
          </cell>
        </row>
        <row r="4112">
          <cell r="S4112" t="str">
            <v/>
          </cell>
        </row>
        <row r="4113">
          <cell r="S4113" t="str">
            <v/>
          </cell>
        </row>
        <row r="4114">
          <cell r="S4114" t="str">
            <v/>
          </cell>
        </row>
        <row r="4115">
          <cell r="S4115" t="str">
            <v/>
          </cell>
        </row>
        <row r="4116">
          <cell r="S4116" t="str">
            <v/>
          </cell>
        </row>
        <row r="4117">
          <cell r="S4117" t="str">
            <v/>
          </cell>
        </row>
        <row r="4118">
          <cell r="S4118" t="str">
            <v/>
          </cell>
        </row>
        <row r="4119">
          <cell r="S4119" t="str">
            <v/>
          </cell>
        </row>
        <row r="4120">
          <cell r="S4120" t="str">
            <v/>
          </cell>
        </row>
        <row r="4121">
          <cell r="S4121" t="str">
            <v/>
          </cell>
        </row>
        <row r="4122">
          <cell r="S4122" t="str">
            <v/>
          </cell>
        </row>
        <row r="4123">
          <cell r="S4123" t="str">
            <v/>
          </cell>
        </row>
        <row r="4124">
          <cell r="S4124" t="str">
            <v/>
          </cell>
        </row>
        <row r="4125">
          <cell r="S4125" t="str">
            <v/>
          </cell>
        </row>
        <row r="4126">
          <cell r="S4126" t="str">
            <v/>
          </cell>
        </row>
        <row r="4127">
          <cell r="S4127" t="str">
            <v/>
          </cell>
        </row>
        <row r="4128">
          <cell r="S4128" t="str">
            <v/>
          </cell>
        </row>
        <row r="4129">
          <cell r="S4129" t="str">
            <v/>
          </cell>
        </row>
        <row r="4130">
          <cell r="S4130" t="str">
            <v/>
          </cell>
        </row>
        <row r="4131">
          <cell r="S4131" t="str">
            <v/>
          </cell>
        </row>
        <row r="4132">
          <cell r="S4132" t="str">
            <v/>
          </cell>
        </row>
        <row r="4133">
          <cell r="S4133" t="str">
            <v/>
          </cell>
        </row>
        <row r="4134">
          <cell r="S4134" t="str">
            <v/>
          </cell>
        </row>
        <row r="4135">
          <cell r="S4135" t="str">
            <v/>
          </cell>
        </row>
        <row r="4136">
          <cell r="S4136" t="str">
            <v/>
          </cell>
        </row>
        <row r="4137">
          <cell r="S4137" t="str">
            <v/>
          </cell>
        </row>
        <row r="4138">
          <cell r="S4138" t="str">
            <v/>
          </cell>
        </row>
        <row r="4139">
          <cell r="S4139" t="str">
            <v/>
          </cell>
        </row>
        <row r="4140">
          <cell r="S4140" t="str">
            <v/>
          </cell>
        </row>
        <row r="4141">
          <cell r="S4141" t="str">
            <v/>
          </cell>
        </row>
        <row r="4142">
          <cell r="S4142" t="str">
            <v/>
          </cell>
        </row>
        <row r="4143">
          <cell r="S4143" t="str">
            <v/>
          </cell>
        </row>
        <row r="4144">
          <cell r="S4144" t="str">
            <v/>
          </cell>
        </row>
        <row r="4145">
          <cell r="S4145" t="str">
            <v/>
          </cell>
        </row>
        <row r="4146">
          <cell r="S4146" t="str">
            <v/>
          </cell>
        </row>
        <row r="4147">
          <cell r="S4147" t="str">
            <v/>
          </cell>
        </row>
        <row r="4148">
          <cell r="S4148" t="str">
            <v/>
          </cell>
        </row>
        <row r="4149">
          <cell r="S4149" t="str">
            <v/>
          </cell>
        </row>
        <row r="4150">
          <cell r="S4150" t="str">
            <v/>
          </cell>
        </row>
        <row r="4151">
          <cell r="S4151" t="str">
            <v/>
          </cell>
        </row>
        <row r="4152">
          <cell r="S4152" t="str">
            <v/>
          </cell>
        </row>
        <row r="4153">
          <cell r="S4153" t="str">
            <v/>
          </cell>
        </row>
        <row r="4154">
          <cell r="S4154" t="str">
            <v/>
          </cell>
        </row>
        <row r="4155">
          <cell r="S4155" t="str">
            <v/>
          </cell>
        </row>
        <row r="4156">
          <cell r="S4156" t="str">
            <v/>
          </cell>
        </row>
        <row r="4157">
          <cell r="S4157" t="str">
            <v/>
          </cell>
        </row>
        <row r="4158">
          <cell r="S4158" t="str">
            <v/>
          </cell>
        </row>
        <row r="4159">
          <cell r="S4159" t="str">
            <v/>
          </cell>
        </row>
        <row r="4160">
          <cell r="S4160" t="str">
            <v/>
          </cell>
        </row>
        <row r="4161">
          <cell r="S4161" t="str">
            <v/>
          </cell>
        </row>
        <row r="4162">
          <cell r="S4162" t="str">
            <v/>
          </cell>
        </row>
        <row r="4163">
          <cell r="S4163" t="str">
            <v/>
          </cell>
        </row>
        <row r="4164">
          <cell r="S4164" t="str">
            <v/>
          </cell>
        </row>
        <row r="4165">
          <cell r="S4165" t="str">
            <v/>
          </cell>
        </row>
        <row r="4166">
          <cell r="S4166" t="str">
            <v/>
          </cell>
        </row>
        <row r="4167">
          <cell r="S4167" t="str">
            <v/>
          </cell>
        </row>
        <row r="4168">
          <cell r="S4168" t="str">
            <v/>
          </cell>
        </row>
        <row r="4169">
          <cell r="S4169" t="str">
            <v/>
          </cell>
        </row>
        <row r="4170">
          <cell r="S4170" t="str">
            <v/>
          </cell>
        </row>
        <row r="4171">
          <cell r="S4171" t="str">
            <v/>
          </cell>
        </row>
        <row r="4172">
          <cell r="S4172" t="str">
            <v/>
          </cell>
        </row>
        <row r="4173">
          <cell r="S4173" t="str">
            <v/>
          </cell>
        </row>
        <row r="4174">
          <cell r="S4174" t="str">
            <v/>
          </cell>
        </row>
        <row r="4175">
          <cell r="S4175" t="str">
            <v/>
          </cell>
        </row>
        <row r="4176">
          <cell r="S4176" t="str">
            <v/>
          </cell>
        </row>
        <row r="4177">
          <cell r="S4177" t="str">
            <v/>
          </cell>
        </row>
        <row r="4178">
          <cell r="S4178" t="str">
            <v/>
          </cell>
        </row>
        <row r="4179">
          <cell r="S4179" t="str">
            <v/>
          </cell>
        </row>
        <row r="4180">
          <cell r="S4180" t="str">
            <v/>
          </cell>
        </row>
        <row r="4181">
          <cell r="S4181" t="str">
            <v/>
          </cell>
        </row>
        <row r="4182">
          <cell r="S4182" t="str">
            <v/>
          </cell>
        </row>
        <row r="4183">
          <cell r="S4183" t="str">
            <v/>
          </cell>
        </row>
        <row r="4184">
          <cell r="S4184" t="str">
            <v/>
          </cell>
        </row>
        <row r="4185">
          <cell r="S4185" t="str">
            <v/>
          </cell>
        </row>
        <row r="4186">
          <cell r="S4186" t="str">
            <v/>
          </cell>
        </row>
        <row r="4187">
          <cell r="S4187" t="str">
            <v/>
          </cell>
        </row>
        <row r="4188">
          <cell r="S4188" t="str">
            <v/>
          </cell>
        </row>
        <row r="4189">
          <cell r="S4189" t="str">
            <v/>
          </cell>
        </row>
        <row r="4190">
          <cell r="S4190" t="str">
            <v/>
          </cell>
        </row>
        <row r="4191">
          <cell r="S4191" t="str">
            <v/>
          </cell>
        </row>
        <row r="4192">
          <cell r="S4192" t="str">
            <v/>
          </cell>
        </row>
        <row r="4193">
          <cell r="S4193" t="str">
            <v/>
          </cell>
        </row>
        <row r="4194">
          <cell r="S4194" t="str">
            <v/>
          </cell>
        </row>
        <row r="4195">
          <cell r="S4195" t="str">
            <v/>
          </cell>
        </row>
        <row r="4196">
          <cell r="S4196" t="str">
            <v/>
          </cell>
        </row>
        <row r="4197">
          <cell r="S4197" t="str">
            <v/>
          </cell>
        </row>
        <row r="4198">
          <cell r="S4198" t="str">
            <v/>
          </cell>
        </row>
        <row r="4199">
          <cell r="S4199" t="str">
            <v/>
          </cell>
        </row>
        <row r="4200">
          <cell r="S4200" t="str">
            <v/>
          </cell>
        </row>
        <row r="4201">
          <cell r="S4201" t="str">
            <v/>
          </cell>
        </row>
        <row r="4202">
          <cell r="S4202" t="str">
            <v/>
          </cell>
        </row>
        <row r="4203">
          <cell r="S4203" t="str">
            <v/>
          </cell>
        </row>
        <row r="4204">
          <cell r="S4204" t="str">
            <v/>
          </cell>
        </row>
        <row r="4205">
          <cell r="S4205" t="str">
            <v/>
          </cell>
        </row>
        <row r="4206">
          <cell r="S4206" t="str">
            <v/>
          </cell>
        </row>
        <row r="4207">
          <cell r="S4207" t="str">
            <v/>
          </cell>
        </row>
        <row r="4208">
          <cell r="S4208" t="str">
            <v/>
          </cell>
        </row>
        <row r="4209">
          <cell r="S4209" t="str">
            <v/>
          </cell>
        </row>
        <row r="4210">
          <cell r="S4210" t="str">
            <v/>
          </cell>
        </row>
        <row r="4211">
          <cell r="S4211" t="str">
            <v/>
          </cell>
        </row>
        <row r="4212">
          <cell r="S4212" t="str">
            <v/>
          </cell>
        </row>
        <row r="4213">
          <cell r="S4213" t="str">
            <v/>
          </cell>
        </row>
        <row r="4214">
          <cell r="S4214" t="str">
            <v/>
          </cell>
        </row>
        <row r="4215">
          <cell r="S4215" t="str">
            <v/>
          </cell>
        </row>
        <row r="4216">
          <cell r="S4216" t="str">
            <v/>
          </cell>
        </row>
        <row r="4217">
          <cell r="S4217" t="str">
            <v/>
          </cell>
        </row>
        <row r="4218">
          <cell r="S4218" t="str">
            <v/>
          </cell>
        </row>
        <row r="4219">
          <cell r="S4219" t="str">
            <v/>
          </cell>
        </row>
        <row r="4220">
          <cell r="S4220" t="str">
            <v/>
          </cell>
        </row>
        <row r="4221">
          <cell r="S4221" t="str">
            <v/>
          </cell>
        </row>
        <row r="4222">
          <cell r="S4222" t="str">
            <v/>
          </cell>
        </row>
        <row r="4223">
          <cell r="S4223" t="str">
            <v/>
          </cell>
        </row>
        <row r="4224">
          <cell r="S4224" t="str">
            <v/>
          </cell>
        </row>
        <row r="4225">
          <cell r="S4225" t="str">
            <v/>
          </cell>
        </row>
        <row r="4226">
          <cell r="S4226" t="str">
            <v/>
          </cell>
        </row>
        <row r="4227">
          <cell r="S4227" t="str">
            <v/>
          </cell>
        </row>
        <row r="4228">
          <cell r="S4228" t="str">
            <v/>
          </cell>
        </row>
        <row r="4229">
          <cell r="S4229" t="str">
            <v/>
          </cell>
        </row>
        <row r="4230">
          <cell r="S4230" t="str">
            <v/>
          </cell>
        </row>
        <row r="4231">
          <cell r="S4231" t="str">
            <v/>
          </cell>
        </row>
        <row r="4232">
          <cell r="S4232" t="str">
            <v/>
          </cell>
        </row>
        <row r="4233">
          <cell r="S4233" t="str">
            <v/>
          </cell>
        </row>
        <row r="4234">
          <cell r="S4234" t="str">
            <v/>
          </cell>
        </row>
        <row r="4235">
          <cell r="S4235" t="str">
            <v/>
          </cell>
        </row>
        <row r="4236">
          <cell r="S4236" t="str">
            <v/>
          </cell>
        </row>
        <row r="4237">
          <cell r="S4237" t="str">
            <v/>
          </cell>
        </row>
        <row r="4238">
          <cell r="S4238" t="str">
            <v/>
          </cell>
        </row>
        <row r="4239">
          <cell r="S4239" t="str">
            <v/>
          </cell>
        </row>
        <row r="4240">
          <cell r="S4240" t="str">
            <v/>
          </cell>
        </row>
        <row r="4241">
          <cell r="S4241" t="str">
            <v/>
          </cell>
        </row>
        <row r="4242">
          <cell r="S4242" t="str">
            <v/>
          </cell>
        </row>
        <row r="4243">
          <cell r="S4243" t="str">
            <v/>
          </cell>
        </row>
        <row r="4244">
          <cell r="S4244" t="str">
            <v/>
          </cell>
        </row>
        <row r="4245">
          <cell r="S4245" t="str">
            <v/>
          </cell>
        </row>
        <row r="4246">
          <cell r="S4246" t="str">
            <v/>
          </cell>
        </row>
        <row r="4247">
          <cell r="S4247" t="str">
            <v/>
          </cell>
        </row>
        <row r="4248">
          <cell r="S4248" t="str">
            <v/>
          </cell>
        </row>
        <row r="4249">
          <cell r="S4249" t="str">
            <v/>
          </cell>
        </row>
        <row r="4250">
          <cell r="S4250" t="str">
            <v/>
          </cell>
        </row>
        <row r="4251">
          <cell r="S4251" t="str">
            <v/>
          </cell>
        </row>
        <row r="4252">
          <cell r="S4252" t="str">
            <v/>
          </cell>
        </row>
        <row r="4253">
          <cell r="S4253" t="str">
            <v/>
          </cell>
        </row>
        <row r="4254">
          <cell r="S4254" t="str">
            <v/>
          </cell>
        </row>
        <row r="4255">
          <cell r="S4255" t="str">
            <v/>
          </cell>
        </row>
        <row r="4256">
          <cell r="S4256" t="str">
            <v/>
          </cell>
        </row>
        <row r="4257">
          <cell r="S4257" t="str">
            <v/>
          </cell>
        </row>
        <row r="4258">
          <cell r="S4258" t="str">
            <v/>
          </cell>
        </row>
        <row r="4259">
          <cell r="S4259" t="str">
            <v/>
          </cell>
        </row>
        <row r="4260">
          <cell r="S4260" t="str">
            <v/>
          </cell>
        </row>
        <row r="4261">
          <cell r="S4261" t="str">
            <v/>
          </cell>
        </row>
        <row r="4262">
          <cell r="S4262" t="str">
            <v/>
          </cell>
        </row>
        <row r="4263">
          <cell r="S4263" t="str">
            <v/>
          </cell>
        </row>
        <row r="4264">
          <cell r="S4264" t="str">
            <v/>
          </cell>
        </row>
        <row r="4265">
          <cell r="S4265" t="str">
            <v/>
          </cell>
        </row>
        <row r="4266">
          <cell r="S4266" t="str">
            <v/>
          </cell>
        </row>
        <row r="4267">
          <cell r="S4267" t="str">
            <v/>
          </cell>
        </row>
        <row r="4268">
          <cell r="S4268" t="str">
            <v/>
          </cell>
        </row>
        <row r="4269">
          <cell r="S4269" t="str">
            <v/>
          </cell>
        </row>
        <row r="4270">
          <cell r="S4270" t="str">
            <v/>
          </cell>
        </row>
        <row r="4271">
          <cell r="S4271" t="str">
            <v/>
          </cell>
        </row>
        <row r="4272">
          <cell r="S4272" t="str">
            <v/>
          </cell>
        </row>
        <row r="4273">
          <cell r="S4273" t="str">
            <v/>
          </cell>
        </row>
        <row r="4274">
          <cell r="S4274" t="str">
            <v/>
          </cell>
        </row>
        <row r="4275">
          <cell r="S4275" t="str">
            <v/>
          </cell>
        </row>
        <row r="4276">
          <cell r="S4276" t="str">
            <v/>
          </cell>
        </row>
        <row r="4277">
          <cell r="S4277" t="str">
            <v/>
          </cell>
        </row>
        <row r="4278">
          <cell r="S4278" t="str">
            <v/>
          </cell>
        </row>
        <row r="4279">
          <cell r="S4279" t="str">
            <v/>
          </cell>
        </row>
        <row r="4280">
          <cell r="S4280" t="str">
            <v/>
          </cell>
        </row>
        <row r="4281">
          <cell r="S4281" t="str">
            <v/>
          </cell>
        </row>
        <row r="4282">
          <cell r="S4282" t="str">
            <v/>
          </cell>
        </row>
        <row r="4283">
          <cell r="S4283" t="str">
            <v/>
          </cell>
        </row>
        <row r="4284">
          <cell r="S4284" t="str">
            <v/>
          </cell>
        </row>
        <row r="4285">
          <cell r="S4285" t="str">
            <v/>
          </cell>
        </row>
        <row r="4286">
          <cell r="S4286" t="str">
            <v/>
          </cell>
        </row>
        <row r="4287">
          <cell r="S4287" t="str">
            <v/>
          </cell>
        </row>
        <row r="4288">
          <cell r="S4288" t="str">
            <v/>
          </cell>
        </row>
        <row r="4289">
          <cell r="S4289" t="str">
            <v/>
          </cell>
        </row>
        <row r="4290">
          <cell r="S4290" t="str">
            <v/>
          </cell>
        </row>
        <row r="4291">
          <cell r="S4291" t="str">
            <v/>
          </cell>
        </row>
        <row r="4292">
          <cell r="S4292" t="str">
            <v/>
          </cell>
        </row>
        <row r="4293">
          <cell r="S4293" t="str">
            <v/>
          </cell>
        </row>
        <row r="4294">
          <cell r="S4294" t="str">
            <v/>
          </cell>
        </row>
        <row r="4295">
          <cell r="S4295" t="str">
            <v/>
          </cell>
        </row>
        <row r="4296">
          <cell r="S4296" t="str">
            <v/>
          </cell>
        </row>
        <row r="4297">
          <cell r="S4297" t="str">
            <v/>
          </cell>
        </row>
        <row r="4298">
          <cell r="S4298" t="str">
            <v/>
          </cell>
        </row>
        <row r="4299">
          <cell r="S4299" t="str">
            <v/>
          </cell>
        </row>
        <row r="4300">
          <cell r="S4300" t="str">
            <v/>
          </cell>
        </row>
        <row r="4301">
          <cell r="S4301" t="str">
            <v/>
          </cell>
        </row>
        <row r="4302">
          <cell r="S4302" t="str">
            <v/>
          </cell>
        </row>
        <row r="4303">
          <cell r="S4303" t="str">
            <v/>
          </cell>
        </row>
        <row r="4304">
          <cell r="S4304" t="str">
            <v/>
          </cell>
        </row>
        <row r="4305">
          <cell r="S4305" t="str">
            <v/>
          </cell>
        </row>
        <row r="4306">
          <cell r="S4306" t="str">
            <v/>
          </cell>
        </row>
        <row r="4307">
          <cell r="S4307" t="str">
            <v/>
          </cell>
        </row>
        <row r="4308">
          <cell r="S4308" t="str">
            <v/>
          </cell>
        </row>
        <row r="4309">
          <cell r="S4309" t="str">
            <v/>
          </cell>
        </row>
        <row r="4310">
          <cell r="S4310" t="str">
            <v/>
          </cell>
        </row>
        <row r="4311">
          <cell r="S4311" t="str">
            <v/>
          </cell>
        </row>
        <row r="4312">
          <cell r="S4312" t="str">
            <v/>
          </cell>
        </row>
        <row r="4313">
          <cell r="S4313" t="str">
            <v/>
          </cell>
        </row>
        <row r="4314">
          <cell r="S4314" t="str">
            <v/>
          </cell>
        </row>
        <row r="4315">
          <cell r="S4315" t="str">
            <v/>
          </cell>
        </row>
        <row r="4316">
          <cell r="S4316" t="str">
            <v/>
          </cell>
        </row>
        <row r="4317">
          <cell r="S4317" t="str">
            <v/>
          </cell>
        </row>
        <row r="4318">
          <cell r="S4318" t="str">
            <v/>
          </cell>
        </row>
        <row r="4319">
          <cell r="S4319" t="str">
            <v/>
          </cell>
        </row>
        <row r="4320">
          <cell r="S4320" t="str">
            <v/>
          </cell>
        </row>
        <row r="4321">
          <cell r="S4321" t="str">
            <v/>
          </cell>
        </row>
        <row r="4322">
          <cell r="S4322" t="str">
            <v/>
          </cell>
        </row>
        <row r="4323">
          <cell r="S4323" t="str">
            <v/>
          </cell>
        </row>
        <row r="4324">
          <cell r="S4324" t="str">
            <v/>
          </cell>
        </row>
        <row r="4325">
          <cell r="S4325" t="str">
            <v/>
          </cell>
        </row>
        <row r="4326">
          <cell r="S4326" t="str">
            <v/>
          </cell>
        </row>
        <row r="4327">
          <cell r="S4327" t="str">
            <v/>
          </cell>
        </row>
        <row r="4328">
          <cell r="S4328" t="str">
            <v/>
          </cell>
        </row>
        <row r="4329">
          <cell r="S4329" t="str">
            <v/>
          </cell>
        </row>
        <row r="4330">
          <cell r="S4330" t="str">
            <v/>
          </cell>
        </row>
        <row r="4331">
          <cell r="S4331" t="str">
            <v/>
          </cell>
        </row>
        <row r="4332">
          <cell r="S4332" t="str">
            <v/>
          </cell>
        </row>
        <row r="4333">
          <cell r="S4333" t="str">
            <v/>
          </cell>
        </row>
        <row r="4334">
          <cell r="S4334" t="str">
            <v/>
          </cell>
        </row>
        <row r="4335">
          <cell r="S4335" t="str">
            <v/>
          </cell>
        </row>
        <row r="4336">
          <cell r="S4336" t="str">
            <v/>
          </cell>
        </row>
        <row r="4337">
          <cell r="S4337" t="str">
            <v/>
          </cell>
        </row>
        <row r="4338">
          <cell r="S4338" t="str">
            <v/>
          </cell>
        </row>
        <row r="4339">
          <cell r="S4339" t="str">
            <v/>
          </cell>
        </row>
        <row r="4340">
          <cell r="S4340" t="str">
            <v/>
          </cell>
        </row>
        <row r="4341">
          <cell r="S4341" t="str">
            <v/>
          </cell>
        </row>
        <row r="4342">
          <cell r="S4342" t="str">
            <v/>
          </cell>
        </row>
        <row r="4343">
          <cell r="S4343" t="str">
            <v/>
          </cell>
        </row>
        <row r="4344">
          <cell r="S4344" t="str">
            <v/>
          </cell>
        </row>
        <row r="4345">
          <cell r="S4345" t="str">
            <v/>
          </cell>
        </row>
        <row r="4346">
          <cell r="S4346" t="str">
            <v/>
          </cell>
        </row>
        <row r="4347">
          <cell r="S4347" t="str">
            <v/>
          </cell>
        </row>
        <row r="4348">
          <cell r="S4348" t="str">
            <v/>
          </cell>
        </row>
        <row r="4349">
          <cell r="S4349" t="str">
            <v/>
          </cell>
        </row>
        <row r="4350">
          <cell r="S4350" t="str">
            <v/>
          </cell>
        </row>
        <row r="4351">
          <cell r="S4351" t="str">
            <v/>
          </cell>
        </row>
        <row r="4352">
          <cell r="S4352" t="str">
            <v/>
          </cell>
        </row>
        <row r="4353">
          <cell r="S4353" t="str">
            <v/>
          </cell>
        </row>
        <row r="4354">
          <cell r="S4354" t="str">
            <v/>
          </cell>
        </row>
        <row r="4355">
          <cell r="S4355" t="str">
            <v/>
          </cell>
        </row>
        <row r="4356">
          <cell r="S4356" t="str">
            <v/>
          </cell>
        </row>
        <row r="4357">
          <cell r="S4357" t="str">
            <v/>
          </cell>
        </row>
        <row r="4358">
          <cell r="S4358" t="str">
            <v/>
          </cell>
        </row>
        <row r="4359">
          <cell r="S4359" t="str">
            <v/>
          </cell>
        </row>
        <row r="4360">
          <cell r="S4360" t="str">
            <v/>
          </cell>
        </row>
        <row r="4361">
          <cell r="S4361" t="str">
            <v/>
          </cell>
        </row>
        <row r="4362">
          <cell r="S4362" t="str">
            <v/>
          </cell>
        </row>
        <row r="4363">
          <cell r="S4363" t="str">
            <v/>
          </cell>
        </row>
        <row r="4364">
          <cell r="S4364" t="str">
            <v/>
          </cell>
        </row>
        <row r="4365">
          <cell r="S4365" t="str">
            <v/>
          </cell>
        </row>
        <row r="4366">
          <cell r="S4366" t="str">
            <v/>
          </cell>
        </row>
        <row r="4367">
          <cell r="S4367" t="str">
            <v/>
          </cell>
        </row>
        <row r="4368">
          <cell r="S4368" t="str">
            <v/>
          </cell>
        </row>
        <row r="4369">
          <cell r="S4369" t="str">
            <v/>
          </cell>
        </row>
        <row r="4370">
          <cell r="S4370" t="str">
            <v/>
          </cell>
        </row>
        <row r="4371">
          <cell r="S4371" t="str">
            <v/>
          </cell>
        </row>
        <row r="4372">
          <cell r="S4372" t="str">
            <v/>
          </cell>
        </row>
        <row r="4373">
          <cell r="S4373" t="str">
            <v/>
          </cell>
        </row>
        <row r="4374">
          <cell r="S4374" t="str">
            <v/>
          </cell>
        </row>
        <row r="4375">
          <cell r="S4375" t="str">
            <v/>
          </cell>
        </row>
        <row r="4376">
          <cell r="S4376" t="str">
            <v/>
          </cell>
        </row>
        <row r="4377">
          <cell r="S4377" t="str">
            <v/>
          </cell>
        </row>
        <row r="4378">
          <cell r="S4378" t="str">
            <v/>
          </cell>
        </row>
        <row r="4379">
          <cell r="S4379" t="str">
            <v/>
          </cell>
        </row>
        <row r="4380">
          <cell r="S4380" t="str">
            <v/>
          </cell>
        </row>
        <row r="4381">
          <cell r="S4381" t="str">
            <v/>
          </cell>
        </row>
        <row r="4382">
          <cell r="S4382" t="str">
            <v/>
          </cell>
        </row>
        <row r="4383">
          <cell r="S4383" t="str">
            <v/>
          </cell>
        </row>
        <row r="4384">
          <cell r="S4384" t="str">
            <v/>
          </cell>
        </row>
        <row r="4385">
          <cell r="S4385" t="str">
            <v/>
          </cell>
        </row>
        <row r="4386">
          <cell r="S4386" t="str">
            <v/>
          </cell>
        </row>
        <row r="4387">
          <cell r="S4387" t="str">
            <v/>
          </cell>
        </row>
        <row r="4388">
          <cell r="S4388" t="str">
            <v/>
          </cell>
        </row>
        <row r="4389">
          <cell r="S4389" t="str">
            <v/>
          </cell>
        </row>
        <row r="4390">
          <cell r="S4390" t="str">
            <v/>
          </cell>
        </row>
        <row r="4391">
          <cell r="S4391" t="str">
            <v/>
          </cell>
        </row>
        <row r="4392">
          <cell r="S4392" t="str">
            <v/>
          </cell>
        </row>
        <row r="4393">
          <cell r="S4393" t="str">
            <v/>
          </cell>
        </row>
        <row r="4394">
          <cell r="S4394" t="str">
            <v/>
          </cell>
        </row>
        <row r="4395">
          <cell r="S4395" t="str">
            <v/>
          </cell>
        </row>
        <row r="4396">
          <cell r="S4396" t="str">
            <v/>
          </cell>
        </row>
        <row r="4397">
          <cell r="S4397" t="str">
            <v/>
          </cell>
        </row>
        <row r="4398">
          <cell r="S4398" t="str">
            <v/>
          </cell>
        </row>
        <row r="4399">
          <cell r="S4399" t="str">
            <v/>
          </cell>
        </row>
        <row r="4400">
          <cell r="S4400" t="str">
            <v/>
          </cell>
        </row>
        <row r="4401">
          <cell r="S4401" t="str">
            <v/>
          </cell>
        </row>
        <row r="4402">
          <cell r="S4402" t="str">
            <v/>
          </cell>
        </row>
        <row r="4403">
          <cell r="S4403" t="str">
            <v/>
          </cell>
        </row>
        <row r="4404">
          <cell r="S4404" t="str">
            <v/>
          </cell>
        </row>
        <row r="4405">
          <cell r="S4405" t="str">
            <v/>
          </cell>
        </row>
        <row r="4406">
          <cell r="S4406" t="str">
            <v/>
          </cell>
        </row>
        <row r="4407">
          <cell r="S4407" t="str">
            <v/>
          </cell>
        </row>
        <row r="4408">
          <cell r="S4408" t="str">
            <v/>
          </cell>
        </row>
        <row r="4409">
          <cell r="S4409" t="str">
            <v/>
          </cell>
        </row>
        <row r="4410">
          <cell r="S4410" t="str">
            <v/>
          </cell>
        </row>
        <row r="4411">
          <cell r="S4411" t="str">
            <v/>
          </cell>
        </row>
        <row r="4412">
          <cell r="S4412" t="str">
            <v/>
          </cell>
        </row>
        <row r="4413">
          <cell r="S4413" t="str">
            <v/>
          </cell>
        </row>
        <row r="4414">
          <cell r="S4414" t="str">
            <v/>
          </cell>
        </row>
        <row r="4415">
          <cell r="S4415" t="str">
            <v/>
          </cell>
        </row>
        <row r="4416">
          <cell r="S4416" t="str">
            <v/>
          </cell>
        </row>
        <row r="4417">
          <cell r="S4417" t="str">
            <v/>
          </cell>
        </row>
        <row r="4418">
          <cell r="S4418" t="str">
            <v/>
          </cell>
        </row>
        <row r="4419">
          <cell r="S4419" t="str">
            <v/>
          </cell>
        </row>
        <row r="4420">
          <cell r="S4420" t="str">
            <v/>
          </cell>
        </row>
        <row r="4421">
          <cell r="S4421" t="str">
            <v/>
          </cell>
        </row>
        <row r="4422">
          <cell r="S4422" t="str">
            <v/>
          </cell>
        </row>
        <row r="4423">
          <cell r="S4423" t="str">
            <v/>
          </cell>
        </row>
        <row r="4424">
          <cell r="S4424" t="str">
            <v/>
          </cell>
        </row>
        <row r="4425">
          <cell r="S4425" t="str">
            <v/>
          </cell>
        </row>
        <row r="4426">
          <cell r="S4426" t="str">
            <v/>
          </cell>
        </row>
        <row r="4427">
          <cell r="S4427" t="str">
            <v/>
          </cell>
        </row>
        <row r="4428">
          <cell r="S4428" t="str">
            <v/>
          </cell>
        </row>
        <row r="4429">
          <cell r="S4429" t="str">
            <v/>
          </cell>
        </row>
        <row r="4430">
          <cell r="S4430" t="str">
            <v/>
          </cell>
        </row>
        <row r="4431">
          <cell r="S4431" t="str">
            <v/>
          </cell>
        </row>
        <row r="4432">
          <cell r="S4432" t="str">
            <v/>
          </cell>
        </row>
        <row r="4433">
          <cell r="S4433" t="str">
            <v/>
          </cell>
        </row>
        <row r="4434">
          <cell r="S4434" t="str">
            <v/>
          </cell>
        </row>
        <row r="4435">
          <cell r="S4435" t="str">
            <v/>
          </cell>
        </row>
        <row r="4436">
          <cell r="S4436" t="str">
            <v/>
          </cell>
        </row>
        <row r="4437">
          <cell r="S4437" t="str">
            <v/>
          </cell>
        </row>
        <row r="4438">
          <cell r="S4438" t="str">
            <v/>
          </cell>
        </row>
        <row r="4439">
          <cell r="S4439" t="str">
            <v/>
          </cell>
        </row>
        <row r="4440">
          <cell r="S4440" t="str">
            <v/>
          </cell>
        </row>
        <row r="4441">
          <cell r="S4441" t="str">
            <v/>
          </cell>
        </row>
        <row r="4442">
          <cell r="S4442" t="str">
            <v/>
          </cell>
        </row>
        <row r="4443">
          <cell r="S4443" t="str">
            <v/>
          </cell>
        </row>
        <row r="4444">
          <cell r="S4444" t="str">
            <v/>
          </cell>
        </row>
        <row r="4445">
          <cell r="S4445" t="str">
            <v/>
          </cell>
        </row>
        <row r="4446">
          <cell r="S4446" t="str">
            <v/>
          </cell>
        </row>
        <row r="4447">
          <cell r="S4447" t="str">
            <v/>
          </cell>
        </row>
        <row r="4448">
          <cell r="S4448" t="str">
            <v/>
          </cell>
        </row>
        <row r="4449">
          <cell r="S4449" t="str">
            <v/>
          </cell>
        </row>
        <row r="4450">
          <cell r="S4450" t="str">
            <v/>
          </cell>
        </row>
        <row r="4451">
          <cell r="S4451" t="str">
            <v/>
          </cell>
        </row>
        <row r="4452">
          <cell r="S4452" t="str">
            <v/>
          </cell>
        </row>
        <row r="4453">
          <cell r="S4453" t="str">
            <v/>
          </cell>
        </row>
        <row r="4454">
          <cell r="S4454" t="str">
            <v/>
          </cell>
        </row>
        <row r="4455">
          <cell r="S4455" t="str">
            <v/>
          </cell>
        </row>
        <row r="4456">
          <cell r="S4456" t="str">
            <v/>
          </cell>
        </row>
        <row r="4457">
          <cell r="S4457" t="str">
            <v/>
          </cell>
        </row>
        <row r="4458">
          <cell r="S4458" t="str">
            <v/>
          </cell>
        </row>
        <row r="4459">
          <cell r="S4459" t="str">
            <v/>
          </cell>
        </row>
        <row r="4460">
          <cell r="S4460" t="str">
            <v/>
          </cell>
        </row>
        <row r="4461">
          <cell r="S4461" t="str">
            <v/>
          </cell>
        </row>
        <row r="4462">
          <cell r="S4462" t="str">
            <v/>
          </cell>
        </row>
        <row r="4463">
          <cell r="S4463" t="str">
            <v/>
          </cell>
        </row>
        <row r="4464">
          <cell r="S4464" t="str">
            <v/>
          </cell>
        </row>
        <row r="4465">
          <cell r="S4465" t="str">
            <v/>
          </cell>
        </row>
        <row r="4466">
          <cell r="S4466" t="str">
            <v/>
          </cell>
        </row>
        <row r="4467">
          <cell r="S4467" t="str">
            <v/>
          </cell>
        </row>
        <row r="4468">
          <cell r="S4468" t="str">
            <v/>
          </cell>
        </row>
        <row r="4469">
          <cell r="S4469" t="str">
            <v/>
          </cell>
        </row>
        <row r="4470">
          <cell r="S4470" t="str">
            <v/>
          </cell>
        </row>
        <row r="4471">
          <cell r="S4471" t="str">
            <v/>
          </cell>
        </row>
        <row r="4472">
          <cell r="S4472" t="str">
            <v/>
          </cell>
        </row>
        <row r="4473">
          <cell r="S4473" t="str">
            <v/>
          </cell>
        </row>
        <row r="4474">
          <cell r="S4474" t="str">
            <v/>
          </cell>
        </row>
        <row r="4475">
          <cell r="S4475" t="str">
            <v/>
          </cell>
        </row>
        <row r="4476">
          <cell r="S4476" t="str">
            <v/>
          </cell>
        </row>
        <row r="4477">
          <cell r="S4477" t="str">
            <v/>
          </cell>
        </row>
        <row r="4478">
          <cell r="S4478" t="str">
            <v/>
          </cell>
        </row>
        <row r="4479">
          <cell r="S4479" t="str">
            <v/>
          </cell>
        </row>
        <row r="4480">
          <cell r="S4480" t="str">
            <v/>
          </cell>
        </row>
        <row r="4481">
          <cell r="S4481" t="str">
            <v/>
          </cell>
        </row>
        <row r="4482">
          <cell r="S4482" t="str">
            <v/>
          </cell>
        </row>
        <row r="4483">
          <cell r="S4483" t="str">
            <v/>
          </cell>
        </row>
        <row r="4484">
          <cell r="S4484" t="str">
            <v/>
          </cell>
        </row>
        <row r="4485">
          <cell r="S4485" t="str">
            <v/>
          </cell>
        </row>
        <row r="4486">
          <cell r="S4486" t="str">
            <v/>
          </cell>
        </row>
        <row r="4487">
          <cell r="S4487" t="str">
            <v/>
          </cell>
        </row>
        <row r="4488">
          <cell r="S4488" t="str">
            <v/>
          </cell>
        </row>
        <row r="4489">
          <cell r="S4489" t="str">
            <v/>
          </cell>
        </row>
        <row r="4490">
          <cell r="S4490" t="str">
            <v/>
          </cell>
        </row>
        <row r="4491">
          <cell r="S4491" t="str">
            <v/>
          </cell>
        </row>
        <row r="4492">
          <cell r="S4492" t="str">
            <v/>
          </cell>
        </row>
        <row r="4493">
          <cell r="S4493" t="str">
            <v/>
          </cell>
        </row>
        <row r="4494">
          <cell r="S4494" t="str">
            <v/>
          </cell>
        </row>
        <row r="4495">
          <cell r="S4495" t="str">
            <v/>
          </cell>
        </row>
        <row r="4496">
          <cell r="S4496" t="str">
            <v/>
          </cell>
        </row>
        <row r="4497">
          <cell r="S4497" t="str">
            <v/>
          </cell>
        </row>
        <row r="4498">
          <cell r="S4498" t="str">
            <v/>
          </cell>
        </row>
        <row r="4499">
          <cell r="S4499" t="str">
            <v/>
          </cell>
        </row>
        <row r="4500">
          <cell r="S4500" t="str">
            <v/>
          </cell>
        </row>
        <row r="4501">
          <cell r="S4501" t="str">
            <v/>
          </cell>
        </row>
        <row r="4502">
          <cell r="S4502" t="str">
            <v/>
          </cell>
        </row>
        <row r="4503">
          <cell r="S4503" t="str">
            <v/>
          </cell>
        </row>
        <row r="4504">
          <cell r="S4504" t="str">
            <v/>
          </cell>
        </row>
        <row r="4505">
          <cell r="S4505" t="str">
            <v/>
          </cell>
        </row>
        <row r="4506">
          <cell r="S4506" t="str">
            <v/>
          </cell>
        </row>
        <row r="4507">
          <cell r="S4507" t="str">
            <v/>
          </cell>
        </row>
        <row r="4508">
          <cell r="S4508" t="str">
            <v/>
          </cell>
        </row>
        <row r="4509">
          <cell r="S4509" t="str">
            <v/>
          </cell>
        </row>
        <row r="4510">
          <cell r="S4510" t="str">
            <v/>
          </cell>
        </row>
        <row r="4511">
          <cell r="S4511" t="str">
            <v/>
          </cell>
        </row>
        <row r="4512">
          <cell r="S4512" t="str">
            <v/>
          </cell>
        </row>
        <row r="4513">
          <cell r="S4513" t="str">
            <v/>
          </cell>
        </row>
        <row r="4514">
          <cell r="S4514" t="str">
            <v/>
          </cell>
        </row>
        <row r="4515">
          <cell r="S4515" t="str">
            <v/>
          </cell>
        </row>
        <row r="4516">
          <cell r="S4516" t="str">
            <v/>
          </cell>
        </row>
        <row r="4517">
          <cell r="S4517" t="str">
            <v/>
          </cell>
        </row>
        <row r="4518">
          <cell r="S4518" t="str">
            <v/>
          </cell>
        </row>
        <row r="4519">
          <cell r="S4519" t="str">
            <v/>
          </cell>
        </row>
        <row r="4520">
          <cell r="S4520" t="str">
            <v/>
          </cell>
        </row>
        <row r="4521">
          <cell r="S4521" t="str">
            <v/>
          </cell>
        </row>
        <row r="4522">
          <cell r="S4522" t="str">
            <v/>
          </cell>
        </row>
        <row r="4523">
          <cell r="S4523" t="str">
            <v/>
          </cell>
        </row>
        <row r="4524">
          <cell r="S4524" t="str">
            <v/>
          </cell>
        </row>
        <row r="4525">
          <cell r="S4525" t="str">
            <v/>
          </cell>
        </row>
        <row r="4526">
          <cell r="S4526" t="str">
            <v/>
          </cell>
        </row>
        <row r="4527">
          <cell r="S4527" t="str">
            <v/>
          </cell>
        </row>
        <row r="4528">
          <cell r="S4528" t="str">
            <v/>
          </cell>
        </row>
        <row r="4529">
          <cell r="S4529" t="str">
            <v/>
          </cell>
        </row>
        <row r="4530">
          <cell r="S4530" t="str">
            <v/>
          </cell>
        </row>
        <row r="4531">
          <cell r="S4531" t="str">
            <v/>
          </cell>
        </row>
        <row r="4532">
          <cell r="S4532" t="str">
            <v/>
          </cell>
        </row>
        <row r="4533">
          <cell r="S4533" t="str">
            <v/>
          </cell>
        </row>
        <row r="4534">
          <cell r="S4534" t="str">
            <v/>
          </cell>
        </row>
        <row r="4535">
          <cell r="S4535" t="str">
            <v/>
          </cell>
        </row>
        <row r="4536">
          <cell r="S4536" t="str">
            <v/>
          </cell>
        </row>
        <row r="4537">
          <cell r="S4537" t="str">
            <v/>
          </cell>
        </row>
        <row r="4538">
          <cell r="S4538" t="str">
            <v/>
          </cell>
        </row>
        <row r="4539">
          <cell r="S4539" t="str">
            <v/>
          </cell>
        </row>
        <row r="4540">
          <cell r="S4540" t="str">
            <v/>
          </cell>
        </row>
        <row r="4541">
          <cell r="S4541" t="str">
            <v/>
          </cell>
        </row>
        <row r="4542">
          <cell r="S4542" t="str">
            <v/>
          </cell>
        </row>
        <row r="4543">
          <cell r="S4543" t="str">
            <v/>
          </cell>
        </row>
        <row r="4544">
          <cell r="S4544" t="str">
            <v/>
          </cell>
        </row>
        <row r="4545">
          <cell r="S4545" t="str">
            <v/>
          </cell>
        </row>
        <row r="4546">
          <cell r="S4546" t="str">
            <v/>
          </cell>
        </row>
        <row r="4547">
          <cell r="S4547" t="str">
            <v/>
          </cell>
        </row>
        <row r="4548">
          <cell r="S4548" t="str">
            <v/>
          </cell>
        </row>
        <row r="4549">
          <cell r="S4549" t="str">
            <v/>
          </cell>
        </row>
        <row r="4550">
          <cell r="S4550" t="str">
            <v/>
          </cell>
        </row>
        <row r="4551">
          <cell r="S4551" t="str">
            <v/>
          </cell>
        </row>
        <row r="4552">
          <cell r="S4552" t="str">
            <v/>
          </cell>
        </row>
        <row r="4553">
          <cell r="S4553" t="str">
            <v/>
          </cell>
        </row>
        <row r="4554">
          <cell r="S4554" t="str">
            <v/>
          </cell>
        </row>
        <row r="4555">
          <cell r="S4555" t="str">
            <v/>
          </cell>
        </row>
        <row r="4556">
          <cell r="S4556" t="str">
            <v/>
          </cell>
        </row>
        <row r="4557">
          <cell r="S4557" t="str">
            <v/>
          </cell>
        </row>
        <row r="4558">
          <cell r="S4558" t="str">
            <v/>
          </cell>
        </row>
        <row r="4559">
          <cell r="S4559" t="str">
            <v/>
          </cell>
        </row>
        <row r="4560">
          <cell r="S4560" t="str">
            <v/>
          </cell>
        </row>
        <row r="4561">
          <cell r="S4561" t="str">
            <v/>
          </cell>
        </row>
        <row r="4562">
          <cell r="S4562" t="str">
            <v/>
          </cell>
        </row>
        <row r="4563">
          <cell r="S4563" t="str">
            <v/>
          </cell>
        </row>
        <row r="4564">
          <cell r="S4564" t="str">
            <v/>
          </cell>
        </row>
        <row r="4565">
          <cell r="S4565" t="str">
            <v/>
          </cell>
        </row>
        <row r="4566">
          <cell r="S4566" t="str">
            <v/>
          </cell>
        </row>
        <row r="4567">
          <cell r="S4567" t="str">
            <v/>
          </cell>
        </row>
        <row r="4568">
          <cell r="S4568" t="str">
            <v/>
          </cell>
        </row>
        <row r="4569">
          <cell r="S4569" t="str">
            <v/>
          </cell>
        </row>
        <row r="4570">
          <cell r="S4570" t="str">
            <v/>
          </cell>
        </row>
        <row r="4571">
          <cell r="S4571" t="str">
            <v/>
          </cell>
        </row>
        <row r="4572">
          <cell r="S4572" t="str">
            <v/>
          </cell>
        </row>
        <row r="4573">
          <cell r="S4573" t="str">
            <v/>
          </cell>
        </row>
        <row r="4574">
          <cell r="S4574" t="str">
            <v/>
          </cell>
        </row>
        <row r="4575">
          <cell r="S4575" t="str">
            <v/>
          </cell>
        </row>
        <row r="4576">
          <cell r="S4576" t="str">
            <v/>
          </cell>
        </row>
        <row r="4577">
          <cell r="S4577" t="str">
            <v/>
          </cell>
        </row>
        <row r="4578">
          <cell r="S4578" t="str">
            <v/>
          </cell>
        </row>
        <row r="4579">
          <cell r="S4579" t="str">
            <v/>
          </cell>
        </row>
        <row r="4580">
          <cell r="S4580" t="str">
            <v/>
          </cell>
        </row>
        <row r="4581">
          <cell r="S4581" t="str">
            <v/>
          </cell>
        </row>
        <row r="4582">
          <cell r="S4582" t="str">
            <v/>
          </cell>
        </row>
        <row r="4583">
          <cell r="S4583" t="str">
            <v/>
          </cell>
        </row>
        <row r="4584">
          <cell r="S4584" t="str">
            <v/>
          </cell>
        </row>
        <row r="4585">
          <cell r="S4585" t="str">
            <v/>
          </cell>
        </row>
        <row r="4586">
          <cell r="S4586" t="str">
            <v/>
          </cell>
        </row>
        <row r="4587">
          <cell r="S4587" t="str">
            <v/>
          </cell>
        </row>
        <row r="4588">
          <cell r="S4588" t="str">
            <v/>
          </cell>
        </row>
        <row r="4589">
          <cell r="S4589" t="str">
            <v/>
          </cell>
        </row>
        <row r="4590">
          <cell r="S4590" t="str">
            <v/>
          </cell>
        </row>
        <row r="4591">
          <cell r="S4591" t="str">
            <v/>
          </cell>
        </row>
        <row r="4592">
          <cell r="S4592" t="str">
            <v/>
          </cell>
        </row>
        <row r="4593">
          <cell r="S4593" t="str">
            <v/>
          </cell>
        </row>
        <row r="4594">
          <cell r="S4594" t="str">
            <v/>
          </cell>
        </row>
        <row r="4595">
          <cell r="S4595" t="str">
            <v/>
          </cell>
        </row>
        <row r="4596">
          <cell r="S4596" t="str">
            <v/>
          </cell>
        </row>
        <row r="4597">
          <cell r="S4597" t="str">
            <v/>
          </cell>
        </row>
        <row r="4598">
          <cell r="S4598" t="str">
            <v/>
          </cell>
        </row>
        <row r="4599">
          <cell r="S4599" t="str">
            <v/>
          </cell>
        </row>
        <row r="4600">
          <cell r="S4600" t="str">
            <v/>
          </cell>
        </row>
        <row r="4601">
          <cell r="S4601" t="str">
            <v/>
          </cell>
        </row>
        <row r="4602">
          <cell r="S4602" t="str">
            <v/>
          </cell>
        </row>
        <row r="4603">
          <cell r="S4603" t="str">
            <v/>
          </cell>
        </row>
        <row r="4604">
          <cell r="S4604" t="str">
            <v/>
          </cell>
        </row>
        <row r="4605">
          <cell r="S4605" t="str">
            <v/>
          </cell>
        </row>
        <row r="4606">
          <cell r="S4606" t="str">
            <v/>
          </cell>
        </row>
        <row r="4607">
          <cell r="S4607" t="str">
            <v/>
          </cell>
        </row>
        <row r="4608">
          <cell r="S4608" t="str">
            <v/>
          </cell>
        </row>
        <row r="4609">
          <cell r="S4609" t="str">
            <v/>
          </cell>
        </row>
        <row r="4610">
          <cell r="S4610" t="str">
            <v/>
          </cell>
        </row>
        <row r="4611">
          <cell r="S4611" t="str">
            <v/>
          </cell>
        </row>
        <row r="4612">
          <cell r="S4612" t="str">
            <v/>
          </cell>
        </row>
        <row r="4613">
          <cell r="S4613" t="str">
            <v/>
          </cell>
        </row>
        <row r="4614">
          <cell r="S4614" t="str">
            <v/>
          </cell>
        </row>
        <row r="4615">
          <cell r="S4615" t="str">
            <v/>
          </cell>
        </row>
        <row r="4616">
          <cell r="S4616" t="str">
            <v/>
          </cell>
        </row>
        <row r="4617">
          <cell r="S4617" t="str">
            <v/>
          </cell>
        </row>
        <row r="4618">
          <cell r="S4618" t="str">
            <v/>
          </cell>
        </row>
        <row r="4619">
          <cell r="S4619" t="str">
            <v/>
          </cell>
        </row>
        <row r="4620">
          <cell r="S4620" t="str">
            <v/>
          </cell>
        </row>
        <row r="4621">
          <cell r="S4621" t="str">
            <v/>
          </cell>
        </row>
        <row r="4622">
          <cell r="S4622" t="str">
            <v/>
          </cell>
        </row>
        <row r="4623">
          <cell r="S4623" t="str">
            <v/>
          </cell>
        </row>
        <row r="4624">
          <cell r="S4624" t="str">
            <v/>
          </cell>
        </row>
        <row r="4625">
          <cell r="S4625" t="str">
            <v/>
          </cell>
        </row>
        <row r="4626">
          <cell r="S4626" t="str">
            <v/>
          </cell>
        </row>
        <row r="4627">
          <cell r="S4627" t="str">
            <v/>
          </cell>
        </row>
        <row r="4628">
          <cell r="S4628" t="str">
            <v/>
          </cell>
        </row>
        <row r="4629">
          <cell r="S4629" t="str">
            <v/>
          </cell>
        </row>
        <row r="4630">
          <cell r="S4630" t="str">
            <v/>
          </cell>
        </row>
        <row r="4631">
          <cell r="S4631" t="str">
            <v/>
          </cell>
        </row>
        <row r="4632">
          <cell r="S4632" t="str">
            <v/>
          </cell>
        </row>
        <row r="4633">
          <cell r="S4633" t="str">
            <v/>
          </cell>
        </row>
        <row r="4634">
          <cell r="S4634" t="str">
            <v/>
          </cell>
        </row>
        <row r="4635">
          <cell r="S4635" t="str">
            <v/>
          </cell>
        </row>
        <row r="4636">
          <cell r="S4636" t="str">
            <v/>
          </cell>
        </row>
        <row r="4637">
          <cell r="S4637" t="str">
            <v/>
          </cell>
        </row>
        <row r="4638">
          <cell r="S4638" t="str">
            <v/>
          </cell>
        </row>
        <row r="4639">
          <cell r="S4639" t="str">
            <v/>
          </cell>
        </row>
        <row r="4640">
          <cell r="S4640" t="str">
            <v/>
          </cell>
        </row>
        <row r="4641">
          <cell r="S4641" t="str">
            <v/>
          </cell>
        </row>
        <row r="4642">
          <cell r="S4642" t="str">
            <v/>
          </cell>
        </row>
        <row r="4643">
          <cell r="S4643" t="str">
            <v/>
          </cell>
        </row>
        <row r="4644">
          <cell r="S4644" t="str">
            <v/>
          </cell>
        </row>
        <row r="4645">
          <cell r="S4645" t="str">
            <v/>
          </cell>
        </row>
        <row r="4646">
          <cell r="S4646" t="str">
            <v/>
          </cell>
        </row>
        <row r="4647">
          <cell r="S4647" t="str">
            <v/>
          </cell>
        </row>
        <row r="4648">
          <cell r="S4648" t="str">
            <v/>
          </cell>
        </row>
        <row r="4649">
          <cell r="S4649" t="str">
            <v/>
          </cell>
        </row>
        <row r="4650">
          <cell r="S4650" t="str">
            <v/>
          </cell>
        </row>
        <row r="4651">
          <cell r="S4651" t="str">
            <v/>
          </cell>
        </row>
        <row r="4652">
          <cell r="S4652" t="str">
            <v/>
          </cell>
        </row>
        <row r="4653">
          <cell r="S4653" t="str">
            <v/>
          </cell>
        </row>
        <row r="4654">
          <cell r="S4654" t="str">
            <v/>
          </cell>
        </row>
        <row r="4655">
          <cell r="S4655" t="str">
            <v/>
          </cell>
        </row>
        <row r="4656">
          <cell r="S4656" t="str">
            <v/>
          </cell>
        </row>
        <row r="4657">
          <cell r="S4657" t="str">
            <v/>
          </cell>
        </row>
        <row r="4658">
          <cell r="S4658" t="str">
            <v/>
          </cell>
        </row>
        <row r="4659">
          <cell r="S4659" t="str">
            <v/>
          </cell>
        </row>
        <row r="4660">
          <cell r="S4660" t="str">
            <v/>
          </cell>
        </row>
        <row r="4661">
          <cell r="S4661" t="str">
            <v/>
          </cell>
        </row>
        <row r="4662">
          <cell r="S4662" t="str">
            <v/>
          </cell>
        </row>
        <row r="4663">
          <cell r="S4663" t="str">
            <v/>
          </cell>
        </row>
        <row r="4664">
          <cell r="S4664" t="str">
            <v/>
          </cell>
        </row>
        <row r="4665">
          <cell r="S4665" t="str">
            <v/>
          </cell>
        </row>
        <row r="4666">
          <cell r="S4666" t="str">
            <v/>
          </cell>
        </row>
        <row r="4667">
          <cell r="S4667" t="str">
            <v/>
          </cell>
        </row>
        <row r="4668">
          <cell r="S4668" t="str">
            <v/>
          </cell>
        </row>
        <row r="4669">
          <cell r="S4669" t="str">
            <v/>
          </cell>
        </row>
        <row r="4670">
          <cell r="S4670" t="str">
            <v/>
          </cell>
        </row>
        <row r="4671">
          <cell r="S4671" t="str">
            <v/>
          </cell>
        </row>
        <row r="4672">
          <cell r="S4672" t="str">
            <v/>
          </cell>
        </row>
        <row r="4673">
          <cell r="S4673" t="str">
            <v/>
          </cell>
        </row>
        <row r="4674">
          <cell r="S4674" t="str">
            <v/>
          </cell>
        </row>
        <row r="4675">
          <cell r="S4675" t="str">
            <v/>
          </cell>
        </row>
        <row r="4676">
          <cell r="S4676" t="str">
            <v/>
          </cell>
        </row>
        <row r="4677">
          <cell r="S4677" t="str">
            <v/>
          </cell>
        </row>
        <row r="4678">
          <cell r="S4678" t="str">
            <v/>
          </cell>
        </row>
        <row r="4679">
          <cell r="S4679" t="str">
            <v/>
          </cell>
        </row>
        <row r="4680">
          <cell r="S4680" t="str">
            <v/>
          </cell>
        </row>
        <row r="4681">
          <cell r="S4681" t="str">
            <v/>
          </cell>
        </row>
        <row r="4682">
          <cell r="S4682" t="str">
            <v/>
          </cell>
        </row>
        <row r="4683">
          <cell r="S4683" t="str">
            <v/>
          </cell>
        </row>
        <row r="4684">
          <cell r="S4684" t="str">
            <v/>
          </cell>
        </row>
        <row r="4685">
          <cell r="S4685" t="str">
            <v/>
          </cell>
        </row>
        <row r="4686">
          <cell r="S4686" t="str">
            <v/>
          </cell>
        </row>
        <row r="4687">
          <cell r="S4687" t="str">
            <v/>
          </cell>
        </row>
        <row r="4688">
          <cell r="S4688" t="str">
            <v/>
          </cell>
        </row>
        <row r="4689">
          <cell r="S4689" t="str">
            <v/>
          </cell>
        </row>
        <row r="4690">
          <cell r="S4690" t="str">
            <v/>
          </cell>
        </row>
        <row r="4691">
          <cell r="S4691" t="str">
            <v/>
          </cell>
        </row>
        <row r="4692">
          <cell r="S4692" t="str">
            <v/>
          </cell>
        </row>
        <row r="4693">
          <cell r="S4693" t="str">
            <v/>
          </cell>
        </row>
        <row r="4694">
          <cell r="S4694" t="str">
            <v/>
          </cell>
        </row>
        <row r="4695">
          <cell r="S4695" t="str">
            <v/>
          </cell>
        </row>
        <row r="4696">
          <cell r="S4696" t="str">
            <v/>
          </cell>
        </row>
        <row r="4697">
          <cell r="S4697" t="str">
            <v/>
          </cell>
        </row>
        <row r="4698">
          <cell r="S4698" t="str">
            <v/>
          </cell>
        </row>
        <row r="4699">
          <cell r="S4699" t="str">
            <v/>
          </cell>
        </row>
        <row r="4700">
          <cell r="S4700" t="str">
            <v/>
          </cell>
        </row>
        <row r="4701">
          <cell r="S4701" t="str">
            <v/>
          </cell>
        </row>
        <row r="4702">
          <cell r="S4702" t="str">
            <v/>
          </cell>
        </row>
        <row r="4703">
          <cell r="S4703" t="str">
            <v/>
          </cell>
        </row>
        <row r="4704">
          <cell r="S4704" t="str">
            <v/>
          </cell>
        </row>
        <row r="4705">
          <cell r="S4705" t="str">
            <v/>
          </cell>
        </row>
        <row r="4706">
          <cell r="S4706" t="str">
            <v/>
          </cell>
        </row>
        <row r="4707">
          <cell r="S4707" t="str">
            <v/>
          </cell>
        </row>
        <row r="4708">
          <cell r="S4708" t="str">
            <v/>
          </cell>
        </row>
        <row r="4709">
          <cell r="S4709" t="str">
            <v/>
          </cell>
        </row>
        <row r="4710">
          <cell r="S4710" t="str">
            <v/>
          </cell>
        </row>
        <row r="4711">
          <cell r="S4711" t="str">
            <v/>
          </cell>
        </row>
        <row r="4712">
          <cell r="S4712" t="str">
            <v/>
          </cell>
        </row>
        <row r="4713">
          <cell r="S4713" t="str">
            <v/>
          </cell>
        </row>
        <row r="4714">
          <cell r="S4714" t="str">
            <v/>
          </cell>
        </row>
        <row r="4715">
          <cell r="S4715" t="str">
            <v/>
          </cell>
        </row>
        <row r="4716">
          <cell r="S4716" t="str">
            <v/>
          </cell>
        </row>
        <row r="4717">
          <cell r="S4717" t="str">
            <v/>
          </cell>
        </row>
        <row r="4718">
          <cell r="S4718" t="str">
            <v/>
          </cell>
        </row>
        <row r="4719">
          <cell r="S4719" t="str">
            <v/>
          </cell>
        </row>
        <row r="4720">
          <cell r="S4720" t="str">
            <v/>
          </cell>
        </row>
        <row r="4721">
          <cell r="S4721" t="str">
            <v/>
          </cell>
        </row>
        <row r="4722">
          <cell r="S4722" t="str">
            <v/>
          </cell>
        </row>
        <row r="4723">
          <cell r="S4723" t="str">
            <v/>
          </cell>
        </row>
        <row r="4724">
          <cell r="S4724" t="str">
            <v/>
          </cell>
        </row>
        <row r="4725">
          <cell r="S4725" t="str">
            <v/>
          </cell>
        </row>
        <row r="4726">
          <cell r="S4726" t="str">
            <v/>
          </cell>
        </row>
        <row r="4727">
          <cell r="S4727" t="str">
            <v/>
          </cell>
        </row>
        <row r="4728">
          <cell r="S4728" t="str">
            <v/>
          </cell>
        </row>
        <row r="4729">
          <cell r="S4729" t="str">
            <v/>
          </cell>
        </row>
        <row r="4730">
          <cell r="S4730" t="str">
            <v/>
          </cell>
        </row>
        <row r="4731">
          <cell r="S4731" t="str">
            <v/>
          </cell>
        </row>
        <row r="4732">
          <cell r="S4732" t="str">
            <v/>
          </cell>
        </row>
        <row r="4733">
          <cell r="S4733" t="str">
            <v/>
          </cell>
        </row>
        <row r="4734">
          <cell r="S4734" t="str">
            <v/>
          </cell>
        </row>
        <row r="4735">
          <cell r="S4735" t="str">
            <v/>
          </cell>
        </row>
        <row r="4736">
          <cell r="S4736" t="str">
            <v/>
          </cell>
        </row>
        <row r="4737">
          <cell r="S4737" t="str">
            <v/>
          </cell>
        </row>
        <row r="4738">
          <cell r="S4738" t="str">
            <v/>
          </cell>
        </row>
        <row r="4739">
          <cell r="S4739" t="str">
            <v/>
          </cell>
        </row>
        <row r="4740">
          <cell r="S4740" t="str">
            <v/>
          </cell>
        </row>
        <row r="4741">
          <cell r="S4741" t="str">
            <v/>
          </cell>
        </row>
        <row r="4742">
          <cell r="S4742" t="str">
            <v/>
          </cell>
        </row>
        <row r="4743">
          <cell r="S4743" t="str">
            <v/>
          </cell>
        </row>
        <row r="4744">
          <cell r="S4744" t="str">
            <v/>
          </cell>
        </row>
        <row r="4745">
          <cell r="S4745" t="str">
            <v/>
          </cell>
        </row>
        <row r="4746">
          <cell r="S4746" t="str">
            <v/>
          </cell>
        </row>
        <row r="4747">
          <cell r="S4747" t="str">
            <v/>
          </cell>
        </row>
        <row r="4748">
          <cell r="S4748" t="str">
            <v/>
          </cell>
        </row>
        <row r="4749">
          <cell r="S4749" t="str">
            <v/>
          </cell>
        </row>
        <row r="4750">
          <cell r="S4750" t="str">
            <v/>
          </cell>
        </row>
        <row r="4751">
          <cell r="S4751" t="str">
            <v/>
          </cell>
        </row>
        <row r="4752">
          <cell r="S4752" t="str">
            <v/>
          </cell>
        </row>
        <row r="4753">
          <cell r="S4753" t="str">
            <v/>
          </cell>
        </row>
        <row r="4754">
          <cell r="S4754" t="str">
            <v/>
          </cell>
        </row>
        <row r="4755">
          <cell r="S4755" t="str">
            <v/>
          </cell>
        </row>
        <row r="4756">
          <cell r="S4756" t="str">
            <v/>
          </cell>
        </row>
        <row r="4757">
          <cell r="S4757" t="str">
            <v/>
          </cell>
        </row>
        <row r="4758">
          <cell r="S4758" t="str">
            <v/>
          </cell>
        </row>
        <row r="4759">
          <cell r="S4759" t="str">
            <v/>
          </cell>
        </row>
        <row r="4760">
          <cell r="S4760" t="str">
            <v/>
          </cell>
        </row>
        <row r="4761">
          <cell r="S4761" t="str">
            <v/>
          </cell>
        </row>
        <row r="4762">
          <cell r="S4762" t="str">
            <v/>
          </cell>
        </row>
        <row r="4763">
          <cell r="S4763" t="str">
            <v/>
          </cell>
        </row>
        <row r="4764">
          <cell r="S4764" t="str">
            <v/>
          </cell>
        </row>
        <row r="4765">
          <cell r="S4765" t="str">
            <v/>
          </cell>
        </row>
        <row r="4766">
          <cell r="S4766" t="str">
            <v/>
          </cell>
        </row>
        <row r="4767">
          <cell r="S4767" t="str">
            <v/>
          </cell>
        </row>
        <row r="4768">
          <cell r="S4768" t="str">
            <v/>
          </cell>
        </row>
        <row r="4769">
          <cell r="S4769" t="str">
            <v/>
          </cell>
        </row>
        <row r="4770">
          <cell r="S4770" t="str">
            <v/>
          </cell>
        </row>
        <row r="4771">
          <cell r="S4771" t="str">
            <v/>
          </cell>
        </row>
        <row r="4772">
          <cell r="S4772" t="str">
            <v/>
          </cell>
        </row>
        <row r="4773">
          <cell r="S4773" t="str">
            <v/>
          </cell>
        </row>
        <row r="4774">
          <cell r="S4774" t="str">
            <v/>
          </cell>
        </row>
        <row r="4775">
          <cell r="S4775" t="str">
            <v/>
          </cell>
        </row>
        <row r="4776">
          <cell r="S4776" t="str">
            <v/>
          </cell>
        </row>
        <row r="4777">
          <cell r="S4777" t="str">
            <v/>
          </cell>
        </row>
        <row r="4778">
          <cell r="S4778" t="str">
            <v/>
          </cell>
        </row>
        <row r="4779">
          <cell r="S4779" t="str">
            <v/>
          </cell>
        </row>
        <row r="4780">
          <cell r="S4780" t="str">
            <v/>
          </cell>
        </row>
        <row r="4781">
          <cell r="S4781" t="str">
            <v/>
          </cell>
        </row>
        <row r="4782">
          <cell r="S4782" t="str">
            <v/>
          </cell>
        </row>
        <row r="4783">
          <cell r="S4783" t="str">
            <v/>
          </cell>
        </row>
        <row r="4784">
          <cell r="S4784" t="str">
            <v/>
          </cell>
        </row>
        <row r="4785">
          <cell r="S4785" t="str">
            <v/>
          </cell>
        </row>
        <row r="4786">
          <cell r="S4786" t="str">
            <v/>
          </cell>
        </row>
        <row r="4787">
          <cell r="S4787" t="str">
            <v/>
          </cell>
        </row>
        <row r="4788">
          <cell r="S4788" t="str">
            <v/>
          </cell>
        </row>
        <row r="4789">
          <cell r="S4789" t="str">
            <v/>
          </cell>
        </row>
        <row r="4790">
          <cell r="S4790" t="str">
            <v/>
          </cell>
        </row>
        <row r="4791">
          <cell r="S4791" t="str">
            <v/>
          </cell>
        </row>
        <row r="4792">
          <cell r="S4792" t="str">
            <v/>
          </cell>
        </row>
        <row r="4793">
          <cell r="S4793" t="str">
            <v/>
          </cell>
        </row>
        <row r="4794">
          <cell r="S4794" t="str">
            <v/>
          </cell>
        </row>
        <row r="4795">
          <cell r="S4795" t="str">
            <v/>
          </cell>
        </row>
        <row r="4796">
          <cell r="S4796" t="str">
            <v/>
          </cell>
        </row>
        <row r="4797">
          <cell r="S4797" t="str">
            <v/>
          </cell>
        </row>
        <row r="4798">
          <cell r="S4798" t="str">
            <v/>
          </cell>
        </row>
        <row r="4799">
          <cell r="S4799" t="str">
            <v/>
          </cell>
        </row>
        <row r="4800">
          <cell r="S4800" t="str">
            <v/>
          </cell>
        </row>
        <row r="4801">
          <cell r="S4801" t="str">
            <v/>
          </cell>
        </row>
        <row r="4802">
          <cell r="S4802" t="str">
            <v/>
          </cell>
        </row>
        <row r="4803">
          <cell r="S4803" t="str">
            <v/>
          </cell>
        </row>
        <row r="4804">
          <cell r="S4804" t="str">
            <v/>
          </cell>
        </row>
        <row r="4805">
          <cell r="S4805" t="str">
            <v/>
          </cell>
        </row>
        <row r="4806">
          <cell r="S4806" t="str">
            <v/>
          </cell>
        </row>
        <row r="4807">
          <cell r="S4807" t="str">
            <v/>
          </cell>
        </row>
        <row r="4808">
          <cell r="S4808" t="str">
            <v/>
          </cell>
        </row>
        <row r="4809">
          <cell r="S4809" t="str">
            <v/>
          </cell>
        </row>
        <row r="4810">
          <cell r="S4810" t="str">
            <v/>
          </cell>
        </row>
        <row r="4811">
          <cell r="S4811" t="str">
            <v/>
          </cell>
        </row>
        <row r="4812">
          <cell r="S4812" t="str">
            <v/>
          </cell>
        </row>
        <row r="4813">
          <cell r="S4813" t="str">
            <v/>
          </cell>
        </row>
        <row r="4814">
          <cell r="S4814" t="str">
            <v/>
          </cell>
        </row>
        <row r="4815">
          <cell r="S4815" t="str">
            <v/>
          </cell>
        </row>
        <row r="4816">
          <cell r="S4816" t="str">
            <v/>
          </cell>
        </row>
        <row r="4817">
          <cell r="S4817" t="str">
            <v/>
          </cell>
        </row>
        <row r="4818">
          <cell r="S4818" t="str">
            <v/>
          </cell>
        </row>
        <row r="4819">
          <cell r="S4819" t="str">
            <v/>
          </cell>
        </row>
        <row r="4820">
          <cell r="S4820" t="str">
            <v/>
          </cell>
        </row>
        <row r="4821">
          <cell r="S4821" t="str">
            <v/>
          </cell>
        </row>
        <row r="4822">
          <cell r="S4822" t="str">
            <v/>
          </cell>
        </row>
        <row r="4823">
          <cell r="S4823" t="str">
            <v/>
          </cell>
        </row>
        <row r="4824">
          <cell r="S4824" t="str">
            <v/>
          </cell>
        </row>
        <row r="4825">
          <cell r="S4825" t="str">
            <v/>
          </cell>
        </row>
        <row r="4826">
          <cell r="S4826" t="str">
            <v/>
          </cell>
        </row>
        <row r="4827">
          <cell r="S4827" t="str">
            <v/>
          </cell>
        </row>
        <row r="4828">
          <cell r="S4828" t="str">
            <v/>
          </cell>
        </row>
        <row r="4829">
          <cell r="S4829" t="str">
            <v/>
          </cell>
        </row>
        <row r="4830">
          <cell r="S4830" t="str">
            <v/>
          </cell>
        </row>
        <row r="4831">
          <cell r="S4831" t="str">
            <v/>
          </cell>
        </row>
        <row r="4832">
          <cell r="S4832" t="str">
            <v/>
          </cell>
        </row>
        <row r="4833">
          <cell r="S4833" t="str">
            <v/>
          </cell>
        </row>
        <row r="4834">
          <cell r="S4834" t="str">
            <v/>
          </cell>
        </row>
        <row r="4835">
          <cell r="S4835" t="str">
            <v/>
          </cell>
        </row>
        <row r="4836">
          <cell r="S4836" t="str">
            <v/>
          </cell>
        </row>
        <row r="4837">
          <cell r="S4837" t="str">
            <v/>
          </cell>
        </row>
        <row r="4838">
          <cell r="S4838" t="str">
            <v/>
          </cell>
        </row>
        <row r="4839">
          <cell r="S4839" t="str">
            <v/>
          </cell>
        </row>
        <row r="4840">
          <cell r="S4840" t="str">
            <v/>
          </cell>
        </row>
        <row r="4841">
          <cell r="S4841" t="str">
            <v/>
          </cell>
        </row>
        <row r="4842">
          <cell r="S4842" t="str">
            <v/>
          </cell>
        </row>
        <row r="4843">
          <cell r="S4843" t="str">
            <v/>
          </cell>
        </row>
        <row r="4844">
          <cell r="S4844" t="str">
            <v/>
          </cell>
        </row>
        <row r="4845">
          <cell r="S4845" t="str">
            <v/>
          </cell>
        </row>
        <row r="4846">
          <cell r="S4846" t="str">
            <v/>
          </cell>
        </row>
        <row r="4847">
          <cell r="S4847" t="str">
            <v/>
          </cell>
        </row>
        <row r="4848">
          <cell r="S4848" t="str">
            <v/>
          </cell>
        </row>
        <row r="4849">
          <cell r="S4849" t="str">
            <v/>
          </cell>
        </row>
        <row r="4850">
          <cell r="S4850" t="str">
            <v/>
          </cell>
        </row>
        <row r="4851">
          <cell r="S4851" t="str">
            <v/>
          </cell>
        </row>
        <row r="4852">
          <cell r="S4852" t="str">
            <v/>
          </cell>
        </row>
        <row r="4853">
          <cell r="S4853" t="str">
            <v/>
          </cell>
        </row>
        <row r="4854">
          <cell r="S4854" t="str">
            <v/>
          </cell>
        </row>
        <row r="4855">
          <cell r="S4855" t="str">
            <v/>
          </cell>
        </row>
        <row r="4856">
          <cell r="S4856" t="str">
            <v/>
          </cell>
        </row>
        <row r="4857">
          <cell r="S4857" t="str">
            <v/>
          </cell>
        </row>
        <row r="4858">
          <cell r="S4858" t="str">
            <v/>
          </cell>
        </row>
        <row r="4859">
          <cell r="S4859" t="str">
            <v/>
          </cell>
        </row>
        <row r="4860">
          <cell r="S4860" t="str">
            <v/>
          </cell>
        </row>
        <row r="4861">
          <cell r="S4861" t="str">
            <v/>
          </cell>
        </row>
        <row r="4862">
          <cell r="S4862" t="str">
            <v/>
          </cell>
        </row>
        <row r="4863">
          <cell r="S4863" t="str">
            <v/>
          </cell>
        </row>
        <row r="4864">
          <cell r="S4864" t="str">
            <v/>
          </cell>
        </row>
        <row r="4865">
          <cell r="S4865" t="str">
            <v/>
          </cell>
        </row>
        <row r="4866">
          <cell r="S4866" t="str">
            <v/>
          </cell>
        </row>
        <row r="4867">
          <cell r="S4867" t="str">
            <v/>
          </cell>
        </row>
        <row r="4868">
          <cell r="S4868" t="str">
            <v/>
          </cell>
        </row>
        <row r="4869">
          <cell r="S4869" t="str">
            <v/>
          </cell>
        </row>
        <row r="4870">
          <cell r="S4870" t="str">
            <v/>
          </cell>
        </row>
        <row r="4871">
          <cell r="S4871" t="str">
            <v/>
          </cell>
        </row>
        <row r="4872">
          <cell r="S4872" t="str">
            <v/>
          </cell>
        </row>
        <row r="4873">
          <cell r="S4873" t="str">
            <v/>
          </cell>
        </row>
        <row r="4874">
          <cell r="S4874" t="str">
            <v/>
          </cell>
        </row>
        <row r="4875">
          <cell r="S4875" t="str">
            <v/>
          </cell>
        </row>
        <row r="4876">
          <cell r="S4876" t="str">
            <v/>
          </cell>
        </row>
        <row r="4877">
          <cell r="S4877" t="str">
            <v/>
          </cell>
        </row>
        <row r="4878">
          <cell r="S4878" t="str">
            <v/>
          </cell>
        </row>
        <row r="4879">
          <cell r="S4879" t="str">
            <v/>
          </cell>
        </row>
        <row r="4880">
          <cell r="S4880" t="str">
            <v/>
          </cell>
        </row>
        <row r="4881">
          <cell r="S4881" t="str">
            <v/>
          </cell>
        </row>
        <row r="4882">
          <cell r="S4882" t="str">
            <v/>
          </cell>
        </row>
        <row r="4883">
          <cell r="S4883" t="str">
            <v/>
          </cell>
        </row>
        <row r="4884">
          <cell r="S4884" t="str">
            <v/>
          </cell>
        </row>
        <row r="4885">
          <cell r="S4885" t="str">
            <v/>
          </cell>
        </row>
        <row r="4886">
          <cell r="S4886" t="str">
            <v/>
          </cell>
        </row>
        <row r="4887">
          <cell r="S4887" t="str">
            <v/>
          </cell>
        </row>
        <row r="4888">
          <cell r="S4888" t="str">
            <v/>
          </cell>
        </row>
        <row r="4889">
          <cell r="S4889" t="str">
            <v/>
          </cell>
        </row>
        <row r="4890">
          <cell r="S4890" t="str">
            <v/>
          </cell>
        </row>
        <row r="4891">
          <cell r="S4891" t="str">
            <v/>
          </cell>
        </row>
        <row r="4892">
          <cell r="S4892" t="str">
            <v/>
          </cell>
        </row>
        <row r="4893">
          <cell r="S4893" t="str">
            <v/>
          </cell>
        </row>
        <row r="4894">
          <cell r="S4894" t="str">
            <v/>
          </cell>
        </row>
        <row r="4895">
          <cell r="S4895" t="str">
            <v/>
          </cell>
        </row>
        <row r="4896">
          <cell r="S4896" t="str">
            <v/>
          </cell>
        </row>
        <row r="4897">
          <cell r="S4897" t="str">
            <v/>
          </cell>
        </row>
        <row r="4898">
          <cell r="S4898" t="str">
            <v/>
          </cell>
        </row>
        <row r="4899">
          <cell r="S4899" t="str">
            <v/>
          </cell>
        </row>
        <row r="4900">
          <cell r="S4900" t="str">
            <v/>
          </cell>
        </row>
        <row r="4901">
          <cell r="S4901" t="str">
            <v/>
          </cell>
        </row>
        <row r="4902">
          <cell r="S4902" t="str">
            <v/>
          </cell>
        </row>
        <row r="4903">
          <cell r="S4903" t="str">
            <v/>
          </cell>
        </row>
        <row r="4904">
          <cell r="S4904" t="str">
            <v/>
          </cell>
        </row>
        <row r="4905">
          <cell r="S4905" t="str">
            <v/>
          </cell>
        </row>
        <row r="4906">
          <cell r="S4906" t="str">
            <v/>
          </cell>
        </row>
        <row r="4907">
          <cell r="S4907" t="str">
            <v/>
          </cell>
        </row>
        <row r="4908">
          <cell r="S4908" t="str">
            <v/>
          </cell>
        </row>
        <row r="4909">
          <cell r="S4909" t="str">
            <v/>
          </cell>
        </row>
        <row r="4910">
          <cell r="S4910" t="str">
            <v/>
          </cell>
        </row>
        <row r="4911">
          <cell r="S4911" t="str">
            <v/>
          </cell>
        </row>
        <row r="4912">
          <cell r="S4912" t="str">
            <v/>
          </cell>
        </row>
        <row r="4913">
          <cell r="S4913" t="str">
            <v/>
          </cell>
        </row>
        <row r="4914">
          <cell r="S4914" t="str">
            <v/>
          </cell>
        </row>
        <row r="4915">
          <cell r="S4915" t="str">
            <v/>
          </cell>
        </row>
        <row r="4916">
          <cell r="S4916" t="str">
            <v/>
          </cell>
        </row>
        <row r="4917">
          <cell r="S4917" t="str">
            <v/>
          </cell>
        </row>
        <row r="4918">
          <cell r="S4918" t="str">
            <v/>
          </cell>
        </row>
        <row r="4919">
          <cell r="S4919" t="str">
            <v/>
          </cell>
        </row>
        <row r="4920">
          <cell r="S4920" t="str">
            <v/>
          </cell>
        </row>
        <row r="4921">
          <cell r="S4921" t="str">
            <v/>
          </cell>
        </row>
        <row r="4922">
          <cell r="S4922" t="str">
            <v/>
          </cell>
        </row>
        <row r="4923">
          <cell r="S4923" t="str">
            <v/>
          </cell>
        </row>
        <row r="4924">
          <cell r="S4924" t="str">
            <v/>
          </cell>
        </row>
        <row r="4925">
          <cell r="S4925" t="str">
            <v/>
          </cell>
        </row>
        <row r="4926">
          <cell r="S4926" t="str">
            <v/>
          </cell>
        </row>
        <row r="4927">
          <cell r="S4927" t="str">
            <v/>
          </cell>
        </row>
        <row r="4928">
          <cell r="S4928" t="str">
            <v/>
          </cell>
        </row>
        <row r="4929">
          <cell r="S4929" t="str">
            <v/>
          </cell>
        </row>
        <row r="4930">
          <cell r="S4930" t="str">
            <v/>
          </cell>
        </row>
        <row r="4931">
          <cell r="S4931" t="str">
            <v/>
          </cell>
        </row>
        <row r="4932">
          <cell r="S4932" t="str">
            <v/>
          </cell>
        </row>
        <row r="4933">
          <cell r="S4933" t="str">
            <v/>
          </cell>
        </row>
        <row r="4934">
          <cell r="S4934" t="str">
            <v/>
          </cell>
        </row>
        <row r="4935">
          <cell r="S4935" t="str">
            <v/>
          </cell>
        </row>
        <row r="4936">
          <cell r="S4936" t="str">
            <v/>
          </cell>
        </row>
        <row r="4937">
          <cell r="S4937" t="str">
            <v/>
          </cell>
        </row>
        <row r="4938">
          <cell r="S4938" t="str">
            <v/>
          </cell>
        </row>
        <row r="4939">
          <cell r="S4939" t="str">
            <v/>
          </cell>
        </row>
        <row r="4940">
          <cell r="S4940" t="str">
            <v/>
          </cell>
        </row>
        <row r="4941">
          <cell r="S4941" t="str">
            <v/>
          </cell>
        </row>
        <row r="4942">
          <cell r="S4942" t="str">
            <v/>
          </cell>
        </row>
        <row r="4943">
          <cell r="S4943" t="str">
            <v/>
          </cell>
        </row>
        <row r="4944">
          <cell r="S4944" t="str">
            <v/>
          </cell>
        </row>
        <row r="4945">
          <cell r="S4945" t="str">
            <v/>
          </cell>
        </row>
        <row r="4946">
          <cell r="S4946" t="str">
            <v/>
          </cell>
        </row>
        <row r="4947">
          <cell r="S4947" t="str">
            <v/>
          </cell>
        </row>
        <row r="4948">
          <cell r="S4948" t="str">
            <v/>
          </cell>
        </row>
        <row r="4949">
          <cell r="S4949" t="str">
            <v/>
          </cell>
        </row>
        <row r="4950">
          <cell r="S4950" t="str">
            <v/>
          </cell>
        </row>
        <row r="4951">
          <cell r="S4951" t="str">
            <v/>
          </cell>
        </row>
        <row r="4952">
          <cell r="S4952" t="str">
            <v/>
          </cell>
        </row>
        <row r="4953">
          <cell r="S4953" t="str">
            <v/>
          </cell>
        </row>
        <row r="4954">
          <cell r="S4954" t="str">
            <v/>
          </cell>
        </row>
        <row r="4955">
          <cell r="S4955" t="str">
            <v/>
          </cell>
        </row>
        <row r="4956">
          <cell r="S4956" t="str">
            <v/>
          </cell>
        </row>
        <row r="4957">
          <cell r="S4957" t="str">
            <v/>
          </cell>
        </row>
        <row r="4958">
          <cell r="S4958" t="str">
            <v/>
          </cell>
        </row>
        <row r="4959">
          <cell r="S4959" t="str">
            <v/>
          </cell>
        </row>
        <row r="4960">
          <cell r="S4960" t="str">
            <v/>
          </cell>
        </row>
        <row r="4961">
          <cell r="S4961" t="str">
            <v/>
          </cell>
        </row>
        <row r="4962">
          <cell r="S4962" t="str">
            <v/>
          </cell>
        </row>
        <row r="4963">
          <cell r="S4963" t="str">
            <v/>
          </cell>
        </row>
        <row r="4964">
          <cell r="S4964" t="str">
            <v/>
          </cell>
        </row>
        <row r="4965">
          <cell r="S4965" t="str">
            <v/>
          </cell>
        </row>
        <row r="4966">
          <cell r="S4966" t="str">
            <v/>
          </cell>
        </row>
        <row r="4967">
          <cell r="S4967" t="str">
            <v/>
          </cell>
        </row>
        <row r="4968">
          <cell r="S4968" t="str">
            <v/>
          </cell>
        </row>
        <row r="4969">
          <cell r="S4969" t="str">
            <v/>
          </cell>
        </row>
        <row r="4970">
          <cell r="S4970" t="str">
            <v/>
          </cell>
        </row>
        <row r="4971">
          <cell r="S4971" t="str">
            <v/>
          </cell>
        </row>
        <row r="4972">
          <cell r="S4972" t="str">
            <v/>
          </cell>
        </row>
        <row r="4973">
          <cell r="S4973" t="str">
            <v/>
          </cell>
        </row>
        <row r="4974">
          <cell r="S4974" t="str">
            <v/>
          </cell>
        </row>
        <row r="4975">
          <cell r="S4975" t="str">
            <v/>
          </cell>
        </row>
        <row r="4976">
          <cell r="S4976" t="str">
            <v/>
          </cell>
        </row>
        <row r="4977">
          <cell r="S4977" t="str">
            <v/>
          </cell>
        </row>
        <row r="4978">
          <cell r="S4978" t="str">
            <v/>
          </cell>
        </row>
        <row r="4979">
          <cell r="S4979" t="str">
            <v/>
          </cell>
        </row>
        <row r="4980">
          <cell r="S4980" t="str">
            <v/>
          </cell>
        </row>
        <row r="4981">
          <cell r="S4981" t="str">
            <v/>
          </cell>
        </row>
        <row r="4982">
          <cell r="S4982" t="str">
            <v/>
          </cell>
        </row>
        <row r="4983">
          <cell r="S4983" t="str">
            <v/>
          </cell>
        </row>
        <row r="4984">
          <cell r="S4984" t="str">
            <v/>
          </cell>
        </row>
        <row r="4985">
          <cell r="S4985" t="str">
            <v/>
          </cell>
        </row>
        <row r="4986">
          <cell r="S4986" t="str">
            <v/>
          </cell>
        </row>
        <row r="4987">
          <cell r="S4987" t="str">
            <v/>
          </cell>
        </row>
        <row r="4988">
          <cell r="S4988" t="str">
            <v/>
          </cell>
        </row>
        <row r="4989">
          <cell r="S4989" t="str">
            <v/>
          </cell>
        </row>
        <row r="4990">
          <cell r="S4990" t="str">
            <v/>
          </cell>
        </row>
        <row r="4991">
          <cell r="S4991" t="str">
            <v/>
          </cell>
        </row>
        <row r="4992">
          <cell r="S4992" t="str">
            <v/>
          </cell>
        </row>
        <row r="4993">
          <cell r="S4993" t="str">
            <v/>
          </cell>
        </row>
        <row r="4994">
          <cell r="S4994" t="str">
            <v/>
          </cell>
        </row>
        <row r="4995">
          <cell r="S4995" t="str">
            <v/>
          </cell>
        </row>
        <row r="4996">
          <cell r="S4996" t="str">
            <v/>
          </cell>
        </row>
        <row r="4997">
          <cell r="S4997" t="str">
            <v/>
          </cell>
        </row>
        <row r="4998">
          <cell r="S4998" t="str">
            <v/>
          </cell>
        </row>
        <row r="4999">
          <cell r="S4999" t="str">
            <v/>
          </cell>
        </row>
        <row r="5000">
          <cell r="S5000" t="str">
            <v/>
          </cell>
        </row>
        <row r="5001">
          <cell r="S5001" t="str">
            <v/>
          </cell>
        </row>
        <row r="5002">
          <cell r="S5002" t="str">
            <v/>
          </cell>
        </row>
        <row r="5003">
          <cell r="S5003" t="str">
            <v/>
          </cell>
        </row>
        <row r="5004">
          <cell r="S5004" t="str">
            <v/>
          </cell>
        </row>
        <row r="5005">
          <cell r="S5005" t="str">
            <v/>
          </cell>
        </row>
        <row r="5006">
          <cell r="S5006" t="str">
            <v/>
          </cell>
        </row>
        <row r="5007">
          <cell r="S5007" t="str">
            <v/>
          </cell>
        </row>
        <row r="5008">
          <cell r="S5008" t="str">
            <v/>
          </cell>
        </row>
        <row r="5009">
          <cell r="S5009" t="str">
            <v/>
          </cell>
        </row>
        <row r="5010">
          <cell r="S5010" t="str">
            <v/>
          </cell>
        </row>
        <row r="5011">
          <cell r="S5011" t="str">
            <v/>
          </cell>
        </row>
        <row r="5012">
          <cell r="S5012" t="str">
            <v/>
          </cell>
        </row>
        <row r="5013">
          <cell r="S5013" t="str">
            <v/>
          </cell>
        </row>
        <row r="5014">
          <cell r="S5014" t="str">
            <v/>
          </cell>
        </row>
        <row r="5015">
          <cell r="S5015" t="str">
            <v/>
          </cell>
        </row>
        <row r="5016">
          <cell r="S5016" t="str">
            <v/>
          </cell>
        </row>
        <row r="5017">
          <cell r="S5017" t="str">
            <v/>
          </cell>
        </row>
        <row r="5018">
          <cell r="S5018" t="str">
            <v/>
          </cell>
        </row>
        <row r="5019">
          <cell r="S5019" t="str">
            <v/>
          </cell>
        </row>
        <row r="5020">
          <cell r="S5020" t="str">
            <v/>
          </cell>
        </row>
        <row r="5021">
          <cell r="S5021" t="str">
            <v/>
          </cell>
        </row>
        <row r="5022">
          <cell r="S5022" t="str">
            <v/>
          </cell>
        </row>
        <row r="5023">
          <cell r="S5023" t="str">
            <v/>
          </cell>
        </row>
        <row r="5024">
          <cell r="S5024" t="str">
            <v/>
          </cell>
        </row>
        <row r="5025">
          <cell r="S5025" t="str">
            <v/>
          </cell>
        </row>
        <row r="5026">
          <cell r="S5026" t="str">
            <v/>
          </cell>
        </row>
        <row r="5027">
          <cell r="S5027" t="str">
            <v/>
          </cell>
        </row>
        <row r="5028">
          <cell r="S5028" t="str">
            <v/>
          </cell>
        </row>
        <row r="5029">
          <cell r="S5029" t="str">
            <v/>
          </cell>
        </row>
        <row r="5030">
          <cell r="S5030" t="str">
            <v/>
          </cell>
        </row>
        <row r="5031">
          <cell r="S5031" t="str">
            <v/>
          </cell>
        </row>
        <row r="5032">
          <cell r="S5032" t="str">
            <v/>
          </cell>
        </row>
        <row r="5033">
          <cell r="S5033" t="str">
            <v/>
          </cell>
        </row>
        <row r="5034">
          <cell r="S5034" t="str">
            <v/>
          </cell>
        </row>
        <row r="5035">
          <cell r="S5035" t="str">
            <v/>
          </cell>
        </row>
        <row r="5036">
          <cell r="S5036" t="str">
            <v/>
          </cell>
        </row>
        <row r="5037">
          <cell r="S5037" t="str">
            <v/>
          </cell>
        </row>
        <row r="5038">
          <cell r="S5038" t="str">
            <v/>
          </cell>
        </row>
        <row r="5039">
          <cell r="S5039" t="str">
            <v/>
          </cell>
        </row>
        <row r="5040">
          <cell r="S5040" t="str">
            <v/>
          </cell>
        </row>
        <row r="5041">
          <cell r="S5041" t="str">
            <v/>
          </cell>
        </row>
        <row r="5042">
          <cell r="S5042" t="str">
            <v/>
          </cell>
        </row>
        <row r="5043">
          <cell r="S5043" t="str">
            <v/>
          </cell>
        </row>
        <row r="5044">
          <cell r="S5044" t="str">
            <v/>
          </cell>
        </row>
        <row r="5045">
          <cell r="S5045" t="str">
            <v/>
          </cell>
        </row>
        <row r="5046">
          <cell r="S5046" t="str">
            <v/>
          </cell>
        </row>
        <row r="5047">
          <cell r="S5047" t="str">
            <v/>
          </cell>
        </row>
        <row r="5048">
          <cell r="S5048" t="str">
            <v/>
          </cell>
        </row>
        <row r="5049">
          <cell r="S5049" t="str">
            <v/>
          </cell>
        </row>
        <row r="5050">
          <cell r="S5050" t="str">
            <v/>
          </cell>
        </row>
        <row r="5051">
          <cell r="S5051" t="str">
            <v/>
          </cell>
        </row>
        <row r="5052">
          <cell r="S5052" t="str">
            <v/>
          </cell>
        </row>
        <row r="5053">
          <cell r="S5053" t="str">
            <v/>
          </cell>
        </row>
        <row r="5054">
          <cell r="S5054" t="str">
            <v/>
          </cell>
        </row>
        <row r="5055">
          <cell r="S5055" t="str">
            <v/>
          </cell>
        </row>
        <row r="5056">
          <cell r="S5056" t="str">
            <v/>
          </cell>
        </row>
        <row r="5057">
          <cell r="S5057" t="str">
            <v/>
          </cell>
        </row>
        <row r="5058">
          <cell r="S5058" t="str">
            <v/>
          </cell>
        </row>
        <row r="5059">
          <cell r="S5059" t="str">
            <v/>
          </cell>
        </row>
        <row r="5060">
          <cell r="S5060" t="str">
            <v/>
          </cell>
        </row>
        <row r="5061">
          <cell r="S5061" t="str">
            <v/>
          </cell>
        </row>
        <row r="5062">
          <cell r="S5062" t="str">
            <v/>
          </cell>
        </row>
        <row r="5063">
          <cell r="S5063" t="str">
            <v/>
          </cell>
        </row>
        <row r="5064">
          <cell r="S5064" t="str">
            <v/>
          </cell>
        </row>
        <row r="5065">
          <cell r="S5065" t="str">
            <v/>
          </cell>
        </row>
        <row r="5066">
          <cell r="S5066" t="str">
            <v/>
          </cell>
        </row>
        <row r="5067">
          <cell r="S5067" t="str">
            <v/>
          </cell>
        </row>
        <row r="5068">
          <cell r="S5068" t="str">
            <v/>
          </cell>
        </row>
        <row r="5069">
          <cell r="S5069" t="str">
            <v/>
          </cell>
        </row>
        <row r="5070">
          <cell r="S5070" t="str">
            <v/>
          </cell>
        </row>
        <row r="5071">
          <cell r="S5071" t="str">
            <v/>
          </cell>
        </row>
        <row r="5072">
          <cell r="S5072" t="str">
            <v/>
          </cell>
        </row>
        <row r="5073">
          <cell r="S5073" t="str">
            <v/>
          </cell>
        </row>
        <row r="5074">
          <cell r="S5074" t="str">
            <v/>
          </cell>
        </row>
        <row r="5075">
          <cell r="S5075" t="str">
            <v/>
          </cell>
        </row>
        <row r="5076">
          <cell r="S5076" t="str">
            <v/>
          </cell>
        </row>
        <row r="5077">
          <cell r="S5077" t="str">
            <v/>
          </cell>
        </row>
        <row r="5078">
          <cell r="S5078" t="str">
            <v/>
          </cell>
        </row>
        <row r="5079">
          <cell r="S5079" t="str">
            <v/>
          </cell>
        </row>
        <row r="5080">
          <cell r="S5080" t="str">
            <v/>
          </cell>
        </row>
        <row r="5081">
          <cell r="S5081" t="str">
            <v/>
          </cell>
        </row>
        <row r="5082">
          <cell r="S5082" t="str">
            <v/>
          </cell>
        </row>
        <row r="5083">
          <cell r="S5083" t="str">
            <v/>
          </cell>
        </row>
        <row r="5084">
          <cell r="S5084" t="str">
            <v/>
          </cell>
        </row>
        <row r="5085">
          <cell r="S5085" t="str">
            <v/>
          </cell>
        </row>
        <row r="5086">
          <cell r="S5086" t="str">
            <v/>
          </cell>
        </row>
        <row r="5087">
          <cell r="S5087" t="str">
            <v/>
          </cell>
        </row>
        <row r="5088">
          <cell r="S5088" t="str">
            <v/>
          </cell>
        </row>
        <row r="5089">
          <cell r="S5089" t="str">
            <v/>
          </cell>
        </row>
        <row r="5090">
          <cell r="S5090" t="str">
            <v/>
          </cell>
        </row>
        <row r="5091">
          <cell r="S5091" t="str">
            <v/>
          </cell>
        </row>
        <row r="5092">
          <cell r="S5092" t="str">
            <v/>
          </cell>
        </row>
        <row r="5093">
          <cell r="S5093" t="str">
            <v/>
          </cell>
        </row>
        <row r="5094">
          <cell r="S5094" t="str">
            <v/>
          </cell>
        </row>
        <row r="5095">
          <cell r="S5095" t="str">
            <v/>
          </cell>
        </row>
        <row r="5096">
          <cell r="S5096" t="str">
            <v/>
          </cell>
        </row>
        <row r="5097">
          <cell r="S5097" t="str">
            <v/>
          </cell>
        </row>
        <row r="5098">
          <cell r="S5098" t="str">
            <v/>
          </cell>
        </row>
        <row r="5099">
          <cell r="S5099" t="str">
            <v/>
          </cell>
        </row>
        <row r="5100">
          <cell r="S5100" t="str">
            <v/>
          </cell>
        </row>
        <row r="5101">
          <cell r="S5101" t="str">
            <v/>
          </cell>
        </row>
        <row r="5102">
          <cell r="S5102" t="str">
            <v/>
          </cell>
        </row>
        <row r="5103">
          <cell r="S5103" t="str">
            <v/>
          </cell>
        </row>
        <row r="5104">
          <cell r="S5104" t="str">
            <v/>
          </cell>
        </row>
        <row r="5105">
          <cell r="S5105" t="str">
            <v/>
          </cell>
        </row>
        <row r="5106">
          <cell r="S5106" t="str">
            <v/>
          </cell>
        </row>
        <row r="5107">
          <cell r="S5107" t="str">
            <v/>
          </cell>
        </row>
        <row r="5108">
          <cell r="S5108" t="str">
            <v/>
          </cell>
        </row>
        <row r="5109">
          <cell r="S5109" t="str">
            <v/>
          </cell>
        </row>
        <row r="5110">
          <cell r="S5110" t="str">
            <v/>
          </cell>
        </row>
        <row r="5111">
          <cell r="S5111" t="str">
            <v/>
          </cell>
        </row>
        <row r="5112">
          <cell r="S5112" t="str">
            <v/>
          </cell>
        </row>
        <row r="5113">
          <cell r="S5113" t="str">
            <v/>
          </cell>
        </row>
        <row r="5114">
          <cell r="S5114" t="str">
            <v/>
          </cell>
        </row>
        <row r="5115">
          <cell r="S5115" t="str">
            <v/>
          </cell>
        </row>
        <row r="5116">
          <cell r="S5116" t="str">
            <v/>
          </cell>
        </row>
        <row r="5117">
          <cell r="S5117" t="str">
            <v/>
          </cell>
        </row>
        <row r="5118">
          <cell r="S5118" t="str">
            <v/>
          </cell>
        </row>
        <row r="5119">
          <cell r="S5119" t="str">
            <v/>
          </cell>
        </row>
        <row r="5120">
          <cell r="S5120" t="str">
            <v/>
          </cell>
        </row>
        <row r="5121">
          <cell r="S5121" t="str">
            <v/>
          </cell>
        </row>
        <row r="5122">
          <cell r="S5122" t="str">
            <v/>
          </cell>
        </row>
        <row r="5123">
          <cell r="S5123" t="str">
            <v/>
          </cell>
        </row>
        <row r="5124">
          <cell r="S5124" t="str">
            <v/>
          </cell>
        </row>
        <row r="5125">
          <cell r="S5125" t="str">
            <v/>
          </cell>
        </row>
        <row r="5126">
          <cell r="S5126" t="str">
            <v/>
          </cell>
        </row>
        <row r="5127">
          <cell r="S5127" t="str">
            <v/>
          </cell>
        </row>
        <row r="5128">
          <cell r="S5128" t="str">
            <v/>
          </cell>
        </row>
        <row r="5129">
          <cell r="S5129" t="str">
            <v/>
          </cell>
        </row>
        <row r="5130">
          <cell r="S5130" t="str">
            <v/>
          </cell>
        </row>
        <row r="5131">
          <cell r="S5131" t="str">
            <v/>
          </cell>
        </row>
        <row r="5132">
          <cell r="S5132" t="str">
            <v/>
          </cell>
        </row>
        <row r="5133">
          <cell r="S5133" t="str">
            <v/>
          </cell>
        </row>
        <row r="5134">
          <cell r="S5134" t="str">
            <v/>
          </cell>
        </row>
        <row r="5135">
          <cell r="S5135" t="str">
            <v/>
          </cell>
        </row>
        <row r="5136">
          <cell r="S5136" t="str">
            <v/>
          </cell>
        </row>
        <row r="5137">
          <cell r="S5137" t="str">
            <v/>
          </cell>
        </row>
        <row r="5138">
          <cell r="S5138" t="str">
            <v/>
          </cell>
        </row>
        <row r="5139">
          <cell r="S5139" t="str">
            <v/>
          </cell>
        </row>
        <row r="5140">
          <cell r="S5140" t="str">
            <v/>
          </cell>
        </row>
        <row r="5141">
          <cell r="S5141" t="str">
            <v/>
          </cell>
        </row>
        <row r="5142">
          <cell r="S5142" t="str">
            <v/>
          </cell>
        </row>
        <row r="5143">
          <cell r="S5143" t="str">
            <v/>
          </cell>
        </row>
        <row r="5144">
          <cell r="S5144" t="str">
            <v/>
          </cell>
        </row>
        <row r="5145">
          <cell r="S5145" t="str">
            <v/>
          </cell>
        </row>
        <row r="5146">
          <cell r="S5146" t="str">
            <v/>
          </cell>
        </row>
        <row r="5147">
          <cell r="S5147" t="str">
            <v/>
          </cell>
        </row>
        <row r="5148">
          <cell r="S5148" t="str">
            <v/>
          </cell>
        </row>
        <row r="5149">
          <cell r="S5149" t="str">
            <v/>
          </cell>
        </row>
        <row r="5150">
          <cell r="S5150" t="str">
            <v/>
          </cell>
        </row>
        <row r="5151">
          <cell r="S5151" t="str">
            <v/>
          </cell>
        </row>
        <row r="5152">
          <cell r="S5152" t="str">
            <v/>
          </cell>
        </row>
        <row r="5153">
          <cell r="S5153" t="str">
            <v/>
          </cell>
        </row>
        <row r="5154">
          <cell r="S5154" t="str">
            <v/>
          </cell>
        </row>
        <row r="5155">
          <cell r="S5155" t="str">
            <v/>
          </cell>
        </row>
        <row r="5156">
          <cell r="S5156" t="str">
            <v/>
          </cell>
        </row>
        <row r="5157">
          <cell r="S5157" t="str">
            <v/>
          </cell>
        </row>
        <row r="5158">
          <cell r="S5158" t="str">
            <v/>
          </cell>
        </row>
        <row r="5159">
          <cell r="S5159" t="str">
            <v/>
          </cell>
        </row>
        <row r="5160">
          <cell r="S5160" t="str">
            <v/>
          </cell>
        </row>
        <row r="5161">
          <cell r="S5161" t="str">
            <v/>
          </cell>
        </row>
        <row r="5162">
          <cell r="S5162" t="str">
            <v/>
          </cell>
        </row>
        <row r="5163">
          <cell r="S5163" t="str">
            <v/>
          </cell>
        </row>
        <row r="5164">
          <cell r="S5164" t="str">
            <v/>
          </cell>
        </row>
        <row r="5165">
          <cell r="S5165" t="str">
            <v/>
          </cell>
        </row>
        <row r="5166">
          <cell r="S5166" t="str">
            <v/>
          </cell>
        </row>
        <row r="5167">
          <cell r="S5167" t="str">
            <v/>
          </cell>
        </row>
        <row r="5168">
          <cell r="S5168" t="str">
            <v/>
          </cell>
        </row>
        <row r="5169">
          <cell r="S5169" t="str">
            <v/>
          </cell>
        </row>
        <row r="5170">
          <cell r="S5170" t="str">
            <v/>
          </cell>
        </row>
        <row r="5171">
          <cell r="S5171" t="str">
            <v/>
          </cell>
        </row>
        <row r="5172">
          <cell r="S5172" t="str">
            <v/>
          </cell>
        </row>
        <row r="5173">
          <cell r="S5173" t="str">
            <v/>
          </cell>
        </row>
        <row r="5174">
          <cell r="S5174" t="str">
            <v/>
          </cell>
        </row>
        <row r="5175">
          <cell r="S5175" t="str">
            <v/>
          </cell>
        </row>
        <row r="5176">
          <cell r="S5176" t="str">
            <v/>
          </cell>
        </row>
        <row r="5177">
          <cell r="S5177" t="str">
            <v/>
          </cell>
        </row>
        <row r="5178">
          <cell r="S5178" t="str">
            <v/>
          </cell>
        </row>
        <row r="5179">
          <cell r="S5179" t="str">
            <v/>
          </cell>
        </row>
        <row r="5180">
          <cell r="S5180" t="str">
            <v/>
          </cell>
        </row>
        <row r="5181">
          <cell r="S5181" t="str">
            <v/>
          </cell>
        </row>
        <row r="5182">
          <cell r="S5182" t="str">
            <v/>
          </cell>
        </row>
        <row r="5183">
          <cell r="S5183" t="str">
            <v/>
          </cell>
        </row>
        <row r="5184">
          <cell r="S5184" t="str">
            <v/>
          </cell>
        </row>
        <row r="5185">
          <cell r="S5185" t="str">
            <v/>
          </cell>
        </row>
        <row r="5186">
          <cell r="S5186" t="str">
            <v/>
          </cell>
        </row>
        <row r="5187">
          <cell r="S5187" t="str">
            <v/>
          </cell>
        </row>
        <row r="5188">
          <cell r="S5188" t="str">
            <v/>
          </cell>
        </row>
        <row r="5189">
          <cell r="S5189" t="str">
            <v/>
          </cell>
        </row>
        <row r="5190">
          <cell r="S5190" t="str">
            <v/>
          </cell>
        </row>
        <row r="5191">
          <cell r="S5191" t="str">
            <v/>
          </cell>
        </row>
        <row r="5192">
          <cell r="S5192" t="str">
            <v/>
          </cell>
        </row>
        <row r="5193">
          <cell r="S5193" t="str">
            <v/>
          </cell>
        </row>
        <row r="5194">
          <cell r="S5194" t="str">
            <v/>
          </cell>
        </row>
        <row r="5195">
          <cell r="S5195" t="str">
            <v/>
          </cell>
        </row>
        <row r="5196">
          <cell r="S5196" t="str">
            <v/>
          </cell>
        </row>
        <row r="5197">
          <cell r="S5197" t="str">
            <v/>
          </cell>
        </row>
        <row r="5198">
          <cell r="S5198" t="str">
            <v/>
          </cell>
        </row>
        <row r="5199">
          <cell r="S5199" t="str">
            <v/>
          </cell>
        </row>
        <row r="5200">
          <cell r="S5200" t="str">
            <v/>
          </cell>
        </row>
        <row r="5201">
          <cell r="S5201" t="str">
            <v/>
          </cell>
        </row>
        <row r="5202">
          <cell r="S5202" t="str">
            <v/>
          </cell>
        </row>
        <row r="5203">
          <cell r="S5203" t="str">
            <v/>
          </cell>
        </row>
        <row r="5204">
          <cell r="S5204" t="str">
            <v/>
          </cell>
        </row>
        <row r="5205">
          <cell r="S5205" t="str">
            <v/>
          </cell>
        </row>
        <row r="5206">
          <cell r="S5206" t="str">
            <v/>
          </cell>
        </row>
        <row r="5207">
          <cell r="S5207" t="str">
            <v/>
          </cell>
        </row>
        <row r="5208">
          <cell r="S5208" t="str">
            <v/>
          </cell>
        </row>
        <row r="5209">
          <cell r="S5209" t="str">
            <v/>
          </cell>
        </row>
        <row r="5210">
          <cell r="S5210" t="str">
            <v/>
          </cell>
        </row>
        <row r="5211">
          <cell r="S5211" t="str">
            <v/>
          </cell>
        </row>
        <row r="5212">
          <cell r="S5212" t="str">
            <v/>
          </cell>
        </row>
        <row r="5213">
          <cell r="S5213" t="str">
            <v/>
          </cell>
        </row>
        <row r="5214">
          <cell r="S5214" t="str">
            <v/>
          </cell>
        </row>
        <row r="5215">
          <cell r="S5215" t="str">
            <v/>
          </cell>
        </row>
        <row r="5216">
          <cell r="S5216" t="str">
            <v/>
          </cell>
        </row>
        <row r="5217">
          <cell r="S5217" t="str">
            <v/>
          </cell>
        </row>
        <row r="5218">
          <cell r="S5218" t="str">
            <v/>
          </cell>
        </row>
        <row r="5219">
          <cell r="S5219" t="str">
            <v/>
          </cell>
        </row>
        <row r="5220">
          <cell r="S5220" t="str">
            <v/>
          </cell>
        </row>
        <row r="5221">
          <cell r="S5221" t="str">
            <v/>
          </cell>
        </row>
        <row r="5222">
          <cell r="S5222" t="str">
            <v/>
          </cell>
        </row>
        <row r="5223">
          <cell r="S5223" t="str">
            <v/>
          </cell>
        </row>
        <row r="5224">
          <cell r="S5224" t="str">
            <v/>
          </cell>
        </row>
        <row r="5225">
          <cell r="S5225" t="str">
            <v/>
          </cell>
        </row>
        <row r="5226">
          <cell r="S5226" t="str">
            <v/>
          </cell>
        </row>
        <row r="5227">
          <cell r="S5227" t="str">
            <v/>
          </cell>
        </row>
        <row r="5228">
          <cell r="S5228" t="str">
            <v/>
          </cell>
        </row>
        <row r="5229">
          <cell r="S5229" t="str">
            <v/>
          </cell>
        </row>
        <row r="5230">
          <cell r="S5230" t="str">
            <v/>
          </cell>
        </row>
        <row r="5231">
          <cell r="S5231" t="str">
            <v/>
          </cell>
        </row>
        <row r="5232">
          <cell r="S5232" t="str">
            <v/>
          </cell>
        </row>
        <row r="5233">
          <cell r="S5233" t="str">
            <v/>
          </cell>
        </row>
        <row r="5234">
          <cell r="S5234" t="str">
            <v/>
          </cell>
        </row>
        <row r="5235">
          <cell r="S5235" t="str">
            <v/>
          </cell>
        </row>
        <row r="5236">
          <cell r="S5236" t="str">
            <v/>
          </cell>
        </row>
        <row r="5237">
          <cell r="S5237" t="str">
            <v/>
          </cell>
        </row>
        <row r="5238">
          <cell r="S5238" t="str">
            <v/>
          </cell>
        </row>
        <row r="5239">
          <cell r="S5239" t="str">
            <v/>
          </cell>
        </row>
        <row r="5240">
          <cell r="S5240" t="str">
            <v/>
          </cell>
        </row>
        <row r="5241">
          <cell r="S5241" t="str">
            <v/>
          </cell>
        </row>
        <row r="5242">
          <cell r="S5242" t="str">
            <v/>
          </cell>
        </row>
        <row r="5243">
          <cell r="S5243" t="str">
            <v/>
          </cell>
        </row>
        <row r="5244">
          <cell r="S5244" t="str">
            <v/>
          </cell>
        </row>
        <row r="5245">
          <cell r="S5245" t="str">
            <v/>
          </cell>
        </row>
        <row r="5246">
          <cell r="S5246" t="str">
            <v/>
          </cell>
        </row>
        <row r="5247">
          <cell r="S5247" t="str">
            <v/>
          </cell>
        </row>
        <row r="5248">
          <cell r="S5248" t="str">
            <v/>
          </cell>
        </row>
        <row r="5249">
          <cell r="S5249" t="str">
            <v/>
          </cell>
        </row>
        <row r="5250">
          <cell r="S5250" t="str">
            <v/>
          </cell>
        </row>
        <row r="5251">
          <cell r="S5251" t="str">
            <v/>
          </cell>
        </row>
        <row r="5252">
          <cell r="S5252" t="str">
            <v/>
          </cell>
        </row>
        <row r="5253">
          <cell r="S5253" t="str">
            <v/>
          </cell>
        </row>
        <row r="5254">
          <cell r="S5254" t="str">
            <v/>
          </cell>
        </row>
        <row r="5255">
          <cell r="S5255" t="str">
            <v/>
          </cell>
        </row>
        <row r="5256">
          <cell r="S5256" t="str">
            <v/>
          </cell>
        </row>
        <row r="5257">
          <cell r="S5257" t="str">
            <v/>
          </cell>
        </row>
        <row r="5258">
          <cell r="S5258" t="str">
            <v/>
          </cell>
        </row>
        <row r="5259">
          <cell r="S5259" t="str">
            <v/>
          </cell>
        </row>
        <row r="5260">
          <cell r="S5260" t="str">
            <v/>
          </cell>
        </row>
        <row r="5261">
          <cell r="S5261" t="str">
            <v/>
          </cell>
        </row>
        <row r="5262">
          <cell r="S5262" t="str">
            <v/>
          </cell>
        </row>
        <row r="5263">
          <cell r="S5263" t="str">
            <v/>
          </cell>
        </row>
        <row r="5264">
          <cell r="S5264" t="str">
            <v/>
          </cell>
        </row>
        <row r="5265">
          <cell r="S5265" t="str">
            <v/>
          </cell>
        </row>
        <row r="5266">
          <cell r="S5266" t="str">
            <v/>
          </cell>
        </row>
        <row r="5267">
          <cell r="S5267" t="str">
            <v/>
          </cell>
        </row>
        <row r="5268">
          <cell r="S5268" t="str">
            <v/>
          </cell>
        </row>
        <row r="5269">
          <cell r="S5269" t="str">
            <v/>
          </cell>
        </row>
        <row r="5270">
          <cell r="S5270" t="str">
            <v/>
          </cell>
        </row>
        <row r="5271">
          <cell r="S5271" t="str">
            <v/>
          </cell>
        </row>
        <row r="5272">
          <cell r="S5272" t="str">
            <v/>
          </cell>
        </row>
        <row r="5273">
          <cell r="S5273" t="str">
            <v/>
          </cell>
        </row>
        <row r="5274">
          <cell r="S5274" t="str">
            <v/>
          </cell>
        </row>
        <row r="5275">
          <cell r="S5275" t="str">
            <v/>
          </cell>
        </row>
        <row r="5276">
          <cell r="S5276" t="str">
            <v/>
          </cell>
        </row>
        <row r="5277">
          <cell r="S5277" t="str">
            <v/>
          </cell>
        </row>
        <row r="5278">
          <cell r="S5278" t="str">
            <v/>
          </cell>
        </row>
        <row r="5279">
          <cell r="S5279" t="str">
            <v/>
          </cell>
        </row>
        <row r="5280">
          <cell r="S5280" t="str">
            <v/>
          </cell>
        </row>
        <row r="5281">
          <cell r="S5281" t="str">
            <v/>
          </cell>
        </row>
        <row r="5282">
          <cell r="S5282" t="str">
            <v/>
          </cell>
        </row>
        <row r="5283">
          <cell r="S5283" t="str">
            <v/>
          </cell>
        </row>
        <row r="5284">
          <cell r="S5284" t="str">
            <v/>
          </cell>
        </row>
        <row r="5285">
          <cell r="S5285" t="str">
            <v/>
          </cell>
        </row>
        <row r="5286">
          <cell r="S5286" t="str">
            <v/>
          </cell>
        </row>
        <row r="5287">
          <cell r="S5287" t="str">
            <v/>
          </cell>
        </row>
        <row r="5288">
          <cell r="S5288" t="str">
            <v/>
          </cell>
        </row>
        <row r="5289">
          <cell r="S5289" t="str">
            <v/>
          </cell>
        </row>
        <row r="5290">
          <cell r="S5290" t="str">
            <v/>
          </cell>
        </row>
        <row r="5291">
          <cell r="S5291" t="str">
            <v/>
          </cell>
        </row>
        <row r="5292">
          <cell r="S5292" t="str">
            <v/>
          </cell>
        </row>
        <row r="5293">
          <cell r="S5293" t="str">
            <v/>
          </cell>
        </row>
        <row r="5294">
          <cell r="S5294" t="str">
            <v/>
          </cell>
        </row>
        <row r="5295">
          <cell r="S5295" t="str">
            <v/>
          </cell>
        </row>
        <row r="5296">
          <cell r="S5296" t="str">
            <v/>
          </cell>
        </row>
        <row r="5297">
          <cell r="S5297" t="str">
            <v/>
          </cell>
        </row>
        <row r="5298">
          <cell r="S5298" t="str">
            <v/>
          </cell>
        </row>
        <row r="5299">
          <cell r="S5299" t="str">
            <v/>
          </cell>
        </row>
        <row r="5300">
          <cell r="S5300" t="str">
            <v/>
          </cell>
        </row>
        <row r="5301">
          <cell r="S5301" t="str">
            <v/>
          </cell>
        </row>
        <row r="5302">
          <cell r="S5302" t="str">
            <v/>
          </cell>
        </row>
        <row r="5303">
          <cell r="S5303" t="str">
            <v/>
          </cell>
        </row>
        <row r="5304">
          <cell r="S5304" t="str">
            <v/>
          </cell>
        </row>
        <row r="5305">
          <cell r="S5305" t="str">
            <v/>
          </cell>
        </row>
        <row r="5306">
          <cell r="S5306" t="str">
            <v/>
          </cell>
        </row>
        <row r="5307">
          <cell r="S5307" t="str">
            <v/>
          </cell>
        </row>
        <row r="5308">
          <cell r="S5308" t="str">
            <v/>
          </cell>
        </row>
        <row r="5309">
          <cell r="S5309" t="str">
            <v/>
          </cell>
        </row>
        <row r="5310">
          <cell r="S5310" t="str">
            <v/>
          </cell>
        </row>
        <row r="5311">
          <cell r="S5311" t="str">
            <v/>
          </cell>
        </row>
        <row r="5312">
          <cell r="S5312" t="str">
            <v/>
          </cell>
        </row>
        <row r="5313">
          <cell r="S5313" t="str">
            <v/>
          </cell>
        </row>
        <row r="5314">
          <cell r="S5314" t="str">
            <v/>
          </cell>
        </row>
        <row r="5315">
          <cell r="S5315" t="str">
            <v/>
          </cell>
        </row>
        <row r="5316">
          <cell r="S5316" t="str">
            <v/>
          </cell>
        </row>
        <row r="5317">
          <cell r="S5317" t="str">
            <v/>
          </cell>
        </row>
        <row r="5318">
          <cell r="S5318" t="str">
            <v/>
          </cell>
        </row>
        <row r="5319">
          <cell r="S5319" t="str">
            <v/>
          </cell>
        </row>
        <row r="5320">
          <cell r="S5320" t="str">
            <v/>
          </cell>
        </row>
        <row r="5321">
          <cell r="S5321" t="str">
            <v/>
          </cell>
        </row>
        <row r="5322">
          <cell r="S5322" t="str">
            <v/>
          </cell>
        </row>
        <row r="5323">
          <cell r="S5323" t="str">
            <v/>
          </cell>
        </row>
        <row r="5324">
          <cell r="S5324" t="str">
            <v/>
          </cell>
        </row>
        <row r="5325">
          <cell r="S5325" t="str">
            <v/>
          </cell>
        </row>
        <row r="5326">
          <cell r="S5326" t="str">
            <v/>
          </cell>
        </row>
        <row r="5327">
          <cell r="S5327" t="str">
            <v/>
          </cell>
        </row>
        <row r="5328">
          <cell r="S5328" t="str">
            <v/>
          </cell>
        </row>
        <row r="5329">
          <cell r="S5329" t="str">
            <v/>
          </cell>
        </row>
        <row r="5330">
          <cell r="S5330" t="str">
            <v/>
          </cell>
        </row>
        <row r="5331">
          <cell r="S5331" t="str">
            <v/>
          </cell>
        </row>
        <row r="5332">
          <cell r="S5332" t="str">
            <v/>
          </cell>
        </row>
        <row r="5333">
          <cell r="S5333" t="str">
            <v/>
          </cell>
        </row>
        <row r="5334">
          <cell r="S5334" t="str">
            <v/>
          </cell>
        </row>
        <row r="5335">
          <cell r="S5335" t="str">
            <v/>
          </cell>
        </row>
        <row r="5336">
          <cell r="S5336" t="str">
            <v/>
          </cell>
        </row>
        <row r="5337">
          <cell r="S5337" t="str">
            <v/>
          </cell>
        </row>
        <row r="5338">
          <cell r="S5338" t="str">
            <v/>
          </cell>
        </row>
        <row r="5339">
          <cell r="S5339" t="str">
            <v/>
          </cell>
        </row>
        <row r="5340">
          <cell r="S5340" t="str">
            <v/>
          </cell>
        </row>
        <row r="5341">
          <cell r="S5341" t="str">
            <v/>
          </cell>
        </row>
        <row r="5342">
          <cell r="S5342" t="str">
            <v/>
          </cell>
        </row>
        <row r="5343">
          <cell r="S5343" t="str">
            <v/>
          </cell>
        </row>
        <row r="5344">
          <cell r="S5344" t="str">
            <v/>
          </cell>
        </row>
        <row r="5345">
          <cell r="S5345" t="str">
            <v/>
          </cell>
        </row>
        <row r="5346">
          <cell r="S5346" t="str">
            <v/>
          </cell>
        </row>
        <row r="5347">
          <cell r="S5347" t="str">
            <v/>
          </cell>
        </row>
        <row r="5348">
          <cell r="S5348" t="str">
            <v/>
          </cell>
        </row>
        <row r="5349">
          <cell r="S5349" t="str">
            <v/>
          </cell>
        </row>
        <row r="5350">
          <cell r="S5350" t="str">
            <v/>
          </cell>
        </row>
        <row r="5351">
          <cell r="S5351" t="str">
            <v/>
          </cell>
        </row>
        <row r="5352">
          <cell r="S5352" t="str">
            <v/>
          </cell>
        </row>
        <row r="5353">
          <cell r="S5353" t="str">
            <v/>
          </cell>
        </row>
        <row r="5354">
          <cell r="S5354" t="str">
            <v/>
          </cell>
        </row>
        <row r="5355">
          <cell r="S5355" t="str">
            <v/>
          </cell>
        </row>
        <row r="5356">
          <cell r="S5356" t="str">
            <v/>
          </cell>
        </row>
        <row r="5357">
          <cell r="S5357" t="str">
            <v/>
          </cell>
        </row>
        <row r="5358">
          <cell r="S5358" t="str">
            <v/>
          </cell>
        </row>
        <row r="5359">
          <cell r="S5359" t="str">
            <v/>
          </cell>
        </row>
        <row r="5360">
          <cell r="S5360" t="str">
            <v/>
          </cell>
        </row>
        <row r="5361">
          <cell r="S5361" t="str">
            <v/>
          </cell>
        </row>
        <row r="5362">
          <cell r="S5362" t="str">
            <v/>
          </cell>
        </row>
        <row r="5363">
          <cell r="S5363" t="str">
            <v/>
          </cell>
        </row>
        <row r="5364">
          <cell r="S5364" t="str">
            <v/>
          </cell>
        </row>
        <row r="5365">
          <cell r="S5365" t="str">
            <v/>
          </cell>
        </row>
        <row r="5366">
          <cell r="S5366" t="str">
            <v/>
          </cell>
        </row>
        <row r="5367">
          <cell r="S5367" t="str">
            <v/>
          </cell>
        </row>
        <row r="5368">
          <cell r="S5368" t="str">
            <v/>
          </cell>
        </row>
        <row r="5369">
          <cell r="S5369" t="str">
            <v/>
          </cell>
        </row>
        <row r="5370">
          <cell r="S5370" t="str">
            <v/>
          </cell>
        </row>
        <row r="5371">
          <cell r="S5371" t="str">
            <v/>
          </cell>
        </row>
        <row r="5372">
          <cell r="S5372" t="str">
            <v/>
          </cell>
        </row>
        <row r="5373">
          <cell r="S5373" t="str">
            <v/>
          </cell>
        </row>
        <row r="5374">
          <cell r="S5374" t="str">
            <v/>
          </cell>
        </row>
        <row r="5375">
          <cell r="S5375" t="str">
            <v/>
          </cell>
        </row>
        <row r="5376">
          <cell r="S5376" t="str">
            <v/>
          </cell>
        </row>
        <row r="5377">
          <cell r="S5377" t="str">
            <v/>
          </cell>
        </row>
        <row r="5378">
          <cell r="S5378" t="str">
            <v/>
          </cell>
        </row>
        <row r="5379">
          <cell r="S5379" t="str">
            <v/>
          </cell>
        </row>
        <row r="5380">
          <cell r="S5380" t="str">
            <v/>
          </cell>
        </row>
        <row r="5381">
          <cell r="S5381" t="str">
            <v/>
          </cell>
        </row>
        <row r="5382">
          <cell r="S5382" t="str">
            <v/>
          </cell>
        </row>
        <row r="5383">
          <cell r="S5383" t="str">
            <v/>
          </cell>
        </row>
        <row r="5384">
          <cell r="S5384" t="str">
            <v/>
          </cell>
        </row>
        <row r="5385">
          <cell r="S5385" t="str">
            <v/>
          </cell>
        </row>
        <row r="5386">
          <cell r="S5386" t="str">
            <v/>
          </cell>
        </row>
        <row r="5387">
          <cell r="S5387" t="str">
            <v/>
          </cell>
        </row>
        <row r="5388">
          <cell r="S5388" t="str">
            <v/>
          </cell>
        </row>
        <row r="5389">
          <cell r="S5389" t="str">
            <v/>
          </cell>
        </row>
        <row r="5390">
          <cell r="S5390" t="str">
            <v/>
          </cell>
        </row>
        <row r="5391">
          <cell r="S5391" t="str">
            <v/>
          </cell>
        </row>
        <row r="5392">
          <cell r="S5392" t="str">
            <v/>
          </cell>
        </row>
        <row r="5393">
          <cell r="S5393" t="str">
            <v/>
          </cell>
        </row>
        <row r="5394">
          <cell r="S5394" t="str">
            <v/>
          </cell>
        </row>
        <row r="5395">
          <cell r="S5395" t="str">
            <v/>
          </cell>
        </row>
        <row r="5396">
          <cell r="S5396" t="str">
            <v/>
          </cell>
        </row>
        <row r="5397">
          <cell r="S5397" t="str">
            <v/>
          </cell>
        </row>
        <row r="5398">
          <cell r="S5398" t="str">
            <v/>
          </cell>
        </row>
        <row r="5399">
          <cell r="S5399" t="str">
            <v/>
          </cell>
        </row>
        <row r="5400">
          <cell r="S5400" t="str">
            <v/>
          </cell>
        </row>
        <row r="5401">
          <cell r="S5401" t="str">
            <v/>
          </cell>
        </row>
        <row r="5402">
          <cell r="S5402" t="str">
            <v/>
          </cell>
        </row>
        <row r="5403">
          <cell r="S5403" t="str">
            <v/>
          </cell>
        </row>
        <row r="5404">
          <cell r="S5404" t="str">
            <v/>
          </cell>
        </row>
        <row r="5405">
          <cell r="S5405" t="str">
            <v/>
          </cell>
        </row>
        <row r="5406">
          <cell r="S5406" t="str">
            <v/>
          </cell>
        </row>
        <row r="5407">
          <cell r="S5407" t="str">
            <v/>
          </cell>
        </row>
        <row r="5408">
          <cell r="S5408" t="str">
            <v/>
          </cell>
        </row>
        <row r="5409">
          <cell r="S5409" t="str">
            <v/>
          </cell>
        </row>
        <row r="5410">
          <cell r="S5410" t="str">
            <v/>
          </cell>
        </row>
        <row r="5411">
          <cell r="S5411" t="str">
            <v/>
          </cell>
        </row>
        <row r="5412">
          <cell r="S5412" t="str">
            <v/>
          </cell>
        </row>
        <row r="5413">
          <cell r="S5413" t="str">
            <v/>
          </cell>
        </row>
        <row r="5414">
          <cell r="S5414" t="str">
            <v/>
          </cell>
        </row>
        <row r="5415">
          <cell r="S5415" t="str">
            <v/>
          </cell>
        </row>
        <row r="5416">
          <cell r="S5416" t="str">
            <v/>
          </cell>
        </row>
        <row r="5417">
          <cell r="S5417" t="str">
            <v/>
          </cell>
        </row>
        <row r="5418">
          <cell r="S5418" t="str">
            <v/>
          </cell>
        </row>
        <row r="5419">
          <cell r="S5419" t="str">
            <v/>
          </cell>
        </row>
        <row r="5420">
          <cell r="S5420" t="str">
            <v/>
          </cell>
        </row>
        <row r="5421">
          <cell r="S5421" t="str">
            <v/>
          </cell>
        </row>
        <row r="5422">
          <cell r="S5422" t="str">
            <v/>
          </cell>
        </row>
        <row r="5423">
          <cell r="S5423" t="str">
            <v/>
          </cell>
        </row>
        <row r="5424">
          <cell r="S5424" t="str">
            <v/>
          </cell>
        </row>
        <row r="5425">
          <cell r="S5425" t="str">
            <v/>
          </cell>
        </row>
        <row r="5426">
          <cell r="S5426" t="str">
            <v/>
          </cell>
        </row>
        <row r="5427">
          <cell r="S5427" t="str">
            <v/>
          </cell>
        </row>
        <row r="5428">
          <cell r="S5428" t="str">
            <v/>
          </cell>
        </row>
        <row r="5429">
          <cell r="S5429" t="str">
            <v/>
          </cell>
        </row>
        <row r="5430">
          <cell r="S5430" t="str">
            <v/>
          </cell>
        </row>
        <row r="5431">
          <cell r="S5431" t="str">
            <v/>
          </cell>
        </row>
        <row r="5432">
          <cell r="S5432" t="str">
            <v/>
          </cell>
        </row>
        <row r="5433">
          <cell r="S5433" t="str">
            <v/>
          </cell>
        </row>
        <row r="5434">
          <cell r="S5434" t="str">
            <v/>
          </cell>
        </row>
        <row r="5435">
          <cell r="S5435" t="str">
            <v/>
          </cell>
        </row>
        <row r="5436">
          <cell r="S5436" t="str">
            <v/>
          </cell>
        </row>
        <row r="5437">
          <cell r="S5437" t="str">
            <v/>
          </cell>
        </row>
        <row r="5438">
          <cell r="S5438" t="str">
            <v/>
          </cell>
        </row>
        <row r="5439">
          <cell r="S5439" t="str">
            <v/>
          </cell>
        </row>
        <row r="5440">
          <cell r="S5440" t="str">
            <v/>
          </cell>
        </row>
        <row r="5441">
          <cell r="S5441" t="str">
            <v/>
          </cell>
        </row>
        <row r="5442">
          <cell r="S5442" t="str">
            <v/>
          </cell>
        </row>
        <row r="5443">
          <cell r="S5443" t="str">
            <v/>
          </cell>
        </row>
        <row r="5444">
          <cell r="S5444" t="str">
            <v/>
          </cell>
        </row>
        <row r="5445">
          <cell r="S5445" t="str">
            <v/>
          </cell>
        </row>
        <row r="5446">
          <cell r="S5446" t="str">
            <v/>
          </cell>
        </row>
        <row r="5447">
          <cell r="S5447" t="str">
            <v/>
          </cell>
        </row>
        <row r="5448">
          <cell r="S5448" t="str">
            <v/>
          </cell>
        </row>
        <row r="5449">
          <cell r="S5449" t="str">
            <v/>
          </cell>
        </row>
        <row r="5450">
          <cell r="S5450" t="str">
            <v/>
          </cell>
        </row>
        <row r="5451">
          <cell r="S5451" t="str">
            <v/>
          </cell>
        </row>
        <row r="5452">
          <cell r="S5452" t="str">
            <v/>
          </cell>
        </row>
        <row r="5453">
          <cell r="S5453" t="str">
            <v/>
          </cell>
        </row>
        <row r="5454">
          <cell r="S5454" t="str">
            <v/>
          </cell>
        </row>
        <row r="5455">
          <cell r="S5455" t="str">
            <v/>
          </cell>
        </row>
        <row r="5456">
          <cell r="S5456" t="str">
            <v/>
          </cell>
        </row>
        <row r="5457">
          <cell r="S5457" t="str">
            <v/>
          </cell>
        </row>
        <row r="5458">
          <cell r="S5458" t="str">
            <v/>
          </cell>
        </row>
        <row r="5459">
          <cell r="S5459" t="str">
            <v/>
          </cell>
        </row>
        <row r="5460">
          <cell r="S5460" t="str">
            <v/>
          </cell>
        </row>
        <row r="5461">
          <cell r="S5461" t="str">
            <v/>
          </cell>
        </row>
        <row r="5462">
          <cell r="S5462" t="str">
            <v/>
          </cell>
        </row>
        <row r="5463">
          <cell r="S5463" t="str">
            <v/>
          </cell>
        </row>
        <row r="5464">
          <cell r="S5464" t="str">
            <v/>
          </cell>
        </row>
        <row r="5465">
          <cell r="S5465" t="str">
            <v/>
          </cell>
        </row>
        <row r="5466">
          <cell r="S5466" t="str">
            <v/>
          </cell>
        </row>
        <row r="5467">
          <cell r="S5467" t="str">
            <v/>
          </cell>
        </row>
        <row r="5468">
          <cell r="S5468" t="str">
            <v/>
          </cell>
        </row>
        <row r="5469">
          <cell r="S5469" t="str">
            <v/>
          </cell>
        </row>
        <row r="5470">
          <cell r="S5470" t="str">
            <v/>
          </cell>
        </row>
        <row r="5471">
          <cell r="S5471" t="str">
            <v/>
          </cell>
        </row>
        <row r="5472">
          <cell r="S5472" t="str">
            <v/>
          </cell>
        </row>
        <row r="5473">
          <cell r="S5473" t="str">
            <v/>
          </cell>
        </row>
        <row r="5474">
          <cell r="S5474" t="str">
            <v/>
          </cell>
        </row>
        <row r="5475">
          <cell r="S5475" t="str">
            <v/>
          </cell>
        </row>
        <row r="5476">
          <cell r="S5476" t="str">
            <v/>
          </cell>
        </row>
        <row r="5477">
          <cell r="S5477" t="str">
            <v/>
          </cell>
        </row>
        <row r="5478">
          <cell r="S5478" t="str">
            <v/>
          </cell>
        </row>
        <row r="5479">
          <cell r="S5479" t="str">
            <v/>
          </cell>
        </row>
        <row r="5480">
          <cell r="S5480" t="str">
            <v/>
          </cell>
        </row>
        <row r="5481">
          <cell r="S5481" t="str">
            <v/>
          </cell>
        </row>
        <row r="5482">
          <cell r="S5482" t="str">
            <v/>
          </cell>
        </row>
        <row r="5483">
          <cell r="S5483" t="str">
            <v/>
          </cell>
        </row>
        <row r="5484">
          <cell r="S5484" t="str">
            <v/>
          </cell>
        </row>
        <row r="5485">
          <cell r="S5485" t="str">
            <v/>
          </cell>
        </row>
        <row r="5486">
          <cell r="S5486" t="str">
            <v/>
          </cell>
        </row>
        <row r="5487">
          <cell r="S5487" t="str">
            <v/>
          </cell>
        </row>
        <row r="5488">
          <cell r="S5488" t="str">
            <v/>
          </cell>
        </row>
        <row r="5489">
          <cell r="S5489" t="str">
            <v/>
          </cell>
        </row>
        <row r="5490">
          <cell r="S5490" t="str">
            <v/>
          </cell>
        </row>
        <row r="5491">
          <cell r="S5491" t="str">
            <v/>
          </cell>
        </row>
        <row r="5492">
          <cell r="S5492" t="str">
            <v/>
          </cell>
        </row>
        <row r="5493">
          <cell r="S5493" t="str">
            <v/>
          </cell>
        </row>
        <row r="5494">
          <cell r="S5494" t="str">
            <v/>
          </cell>
        </row>
        <row r="5495">
          <cell r="S5495" t="str">
            <v/>
          </cell>
        </row>
        <row r="5496">
          <cell r="S5496" t="str">
            <v/>
          </cell>
        </row>
        <row r="5497">
          <cell r="S5497" t="str">
            <v/>
          </cell>
        </row>
        <row r="5498">
          <cell r="S5498" t="str">
            <v/>
          </cell>
        </row>
        <row r="5499">
          <cell r="S5499" t="str">
            <v/>
          </cell>
        </row>
        <row r="5500">
          <cell r="S5500" t="str">
            <v/>
          </cell>
        </row>
        <row r="5501">
          <cell r="S5501" t="str">
            <v/>
          </cell>
        </row>
        <row r="5502">
          <cell r="S5502" t="str">
            <v/>
          </cell>
        </row>
        <row r="5503">
          <cell r="S5503" t="str">
            <v/>
          </cell>
        </row>
        <row r="5504">
          <cell r="S5504" t="str">
            <v/>
          </cell>
        </row>
        <row r="5505">
          <cell r="S5505" t="str">
            <v/>
          </cell>
        </row>
        <row r="5506">
          <cell r="S5506" t="str">
            <v/>
          </cell>
        </row>
        <row r="5507">
          <cell r="S5507" t="str">
            <v/>
          </cell>
        </row>
        <row r="5508">
          <cell r="S5508" t="str">
            <v/>
          </cell>
        </row>
        <row r="5509">
          <cell r="S5509" t="str">
            <v/>
          </cell>
        </row>
        <row r="5510">
          <cell r="S5510" t="str">
            <v/>
          </cell>
        </row>
        <row r="5511">
          <cell r="S5511" t="str">
            <v/>
          </cell>
        </row>
        <row r="5512">
          <cell r="S5512" t="str">
            <v/>
          </cell>
        </row>
        <row r="5513">
          <cell r="S5513" t="str">
            <v/>
          </cell>
        </row>
        <row r="5514">
          <cell r="S5514" t="str">
            <v/>
          </cell>
        </row>
        <row r="5515">
          <cell r="S5515" t="str">
            <v/>
          </cell>
        </row>
        <row r="5516">
          <cell r="S5516" t="str">
            <v/>
          </cell>
        </row>
        <row r="5517">
          <cell r="S5517" t="str">
            <v/>
          </cell>
        </row>
        <row r="5518">
          <cell r="S5518" t="str">
            <v/>
          </cell>
        </row>
        <row r="5519">
          <cell r="S5519" t="str">
            <v/>
          </cell>
        </row>
        <row r="5520">
          <cell r="S5520" t="str">
            <v/>
          </cell>
        </row>
        <row r="5521">
          <cell r="S5521" t="str">
            <v/>
          </cell>
        </row>
        <row r="5522">
          <cell r="S5522" t="str">
            <v/>
          </cell>
        </row>
        <row r="5523">
          <cell r="S5523" t="str">
            <v/>
          </cell>
        </row>
        <row r="5524">
          <cell r="S5524" t="str">
            <v/>
          </cell>
        </row>
        <row r="5525">
          <cell r="S5525" t="str">
            <v/>
          </cell>
        </row>
        <row r="5526">
          <cell r="S5526" t="str">
            <v/>
          </cell>
        </row>
        <row r="5527">
          <cell r="S5527" t="str">
            <v/>
          </cell>
        </row>
        <row r="5528">
          <cell r="S5528" t="str">
            <v/>
          </cell>
        </row>
        <row r="5529">
          <cell r="S5529" t="str">
            <v/>
          </cell>
        </row>
        <row r="5530">
          <cell r="S5530" t="str">
            <v/>
          </cell>
        </row>
        <row r="5531">
          <cell r="S5531" t="str">
            <v/>
          </cell>
        </row>
        <row r="5532">
          <cell r="S5532" t="str">
            <v/>
          </cell>
        </row>
        <row r="5533">
          <cell r="S5533" t="str">
            <v/>
          </cell>
        </row>
        <row r="5534">
          <cell r="S5534" t="str">
            <v/>
          </cell>
        </row>
        <row r="5535">
          <cell r="S5535" t="str">
            <v/>
          </cell>
        </row>
        <row r="5536">
          <cell r="S5536" t="str">
            <v/>
          </cell>
        </row>
        <row r="5537">
          <cell r="S5537" t="str">
            <v/>
          </cell>
        </row>
        <row r="5538">
          <cell r="S5538" t="str">
            <v/>
          </cell>
        </row>
        <row r="5539">
          <cell r="S5539" t="str">
            <v/>
          </cell>
        </row>
        <row r="5540">
          <cell r="S5540" t="str">
            <v/>
          </cell>
        </row>
        <row r="5541">
          <cell r="S5541" t="str">
            <v/>
          </cell>
        </row>
        <row r="5542">
          <cell r="S5542" t="str">
            <v/>
          </cell>
        </row>
        <row r="5543">
          <cell r="S5543" t="str">
            <v/>
          </cell>
        </row>
        <row r="5544">
          <cell r="S5544" t="str">
            <v/>
          </cell>
        </row>
        <row r="5545">
          <cell r="S5545" t="str">
            <v/>
          </cell>
        </row>
        <row r="5546">
          <cell r="S5546" t="str">
            <v/>
          </cell>
        </row>
        <row r="5547">
          <cell r="S5547" t="str">
            <v/>
          </cell>
        </row>
        <row r="5548">
          <cell r="S5548" t="str">
            <v/>
          </cell>
        </row>
        <row r="5549">
          <cell r="S5549" t="str">
            <v/>
          </cell>
        </row>
        <row r="5550">
          <cell r="S5550" t="str">
            <v/>
          </cell>
        </row>
        <row r="5551">
          <cell r="S5551" t="str">
            <v/>
          </cell>
        </row>
        <row r="5552">
          <cell r="S5552" t="str">
            <v/>
          </cell>
        </row>
        <row r="5553">
          <cell r="S5553" t="str">
            <v/>
          </cell>
        </row>
        <row r="5554">
          <cell r="S5554" t="str">
            <v/>
          </cell>
        </row>
        <row r="5555">
          <cell r="S5555" t="str">
            <v/>
          </cell>
        </row>
        <row r="5556">
          <cell r="S5556" t="str">
            <v/>
          </cell>
        </row>
        <row r="5557">
          <cell r="S5557" t="str">
            <v/>
          </cell>
        </row>
        <row r="5558">
          <cell r="S5558" t="str">
            <v/>
          </cell>
        </row>
        <row r="5559">
          <cell r="S5559" t="str">
            <v/>
          </cell>
        </row>
        <row r="5560">
          <cell r="S5560" t="str">
            <v/>
          </cell>
        </row>
        <row r="5561">
          <cell r="S5561" t="str">
            <v/>
          </cell>
        </row>
        <row r="5562">
          <cell r="S5562" t="str">
            <v/>
          </cell>
        </row>
        <row r="5563">
          <cell r="S5563" t="str">
            <v/>
          </cell>
        </row>
        <row r="5564">
          <cell r="S5564" t="str">
            <v/>
          </cell>
        </row>
        <row r="5565">
          <cell r="S5565" t="str">
            <v/>
          </cell>
        </row>
        <row r="5566">
          <cell r="S5566" t="str">
            <v/>
          </cell>
        </row>
        <row r="5567">
          <cell r="S5567" t="str">
            <v/>
          </cell>
        </row>
        <row r="5568">
          <cell r="S5568" t="str">
            <v/>
          </cell>
        </row>
        <row r="5569">
          <cell r="S5569" t="str">
            <v/>
          </cell>
        </row>
        <row r="5570">
          <cell r="S5570" t="str">
            <v/>
          </cell>
        </row>
        <row r="5571">
          <cell r="S5571" t="str">
            <v/>
          </cell>
        </row>
        <row r="5572">
          <cell r="S5572" t="str">
            <v/>
          </cell>
        </row>
        <row r="5573">
          <cell r="S5573" t="str">
            <v/>
          </cell>
        </row>
        <row r="5574">
          <cell r="S5574" t="str">
            <v/>
          </cell>
        </row>
        <row r="5575">
          <cell r="S5575" t="str">
            <v/>
          </cell>
        </row>
        <row r="5576">
          <cell r="S5576" t="str">
            <v/>
          </cell>
        </row>
        <row r="5577">
          <cell r="S5577" t="str">
            <v/>
          </cell>
        </row>
        <row r="5578">
          <cell r="S5578" t="str">
            <v/>
          </cell>
        </row>
        <row r="5579">
          <cell r="S5579" t="str">
            <v/>
          </cell>
        </row>
        <row r="5580">
          <cell r="S5580" t="str">
            <v/>
          </cell>
        </row>
        <row r="5581">
          <cell r="S5581" t="str">
            <v/>
          </cell>
        </row>
        <row r="5582">
          <cell r="S5582" t="str">
            <v/>
          </cell>
        </row>
        <row r="5583">
          <cell r="S5583" t="str">
            <v/>
          </cell>
        </row>
        <row r="5584">
          <cell r="S5584" t="str">
            <v/>
          </cell>
        </row>
        <row r="5585">
          <cell r="S5585" t="str">
            <v/>
          </cell>
        </row>
        <row r="5586">
          <cell r="S5586" t="str">
            <v/>
          </cell>
        </row>
        <row r="5587">
          <cell r="S5587" t="str">
            <v/>
          </cell>
        </row>
        <row r="5588">
          <cell r="S5588" t="str">
            <v/>
          </cell>
        </row>
        <row r="5589">
          <cell r="S5589" t="str">
            <v/>
          </cell>
        </row>
        <row r="5590">
          <cell r="S5590" t="str">
            <v/>
          </cell>
        </row>
        <row r="5591">
          <cell r="S5591" t="str">
            <v/>
          </cell>
        </row>
        <row r="5592">
          <cell r="S5592" t="str">
            <v/>
          </cell>
        </row>
        <row r="5593">
          <cell r="S5593" t="str">
            <v/>
          </cell>
        </row>
        <row r="5594">
          <cell r="S5594" t="str">
            <v/>
          </cell>
        </row>
        <row r="5595">
          <cell r="S5595" t="str">
            <v/>
          </cell>
        </row>
        <row r="5596">
          <cell r="S5596" t="str">
            <v/>
          </cell>
        </row>
        <row r="5597">
          <cell r="S5597" t="str">
            <v/>
          </cell>
        </row>
        <row r="5598">
          <cell r="S5598" t="str">
            <v/>
          </cell>
        </row>
        <row r="5599">
          <cell r="S5599" t="str">
            <v/>
          </cell>
        </row>
        <row r="5600">
          <cell r="S5600" t="str">
            <v/>
          </cell>
        </row>
        <row r="5601">
          <cell r="S5601" t="str">
            <v/>
          </cell>
        </row>
        <row r="5602">
          <cell r="S5602" t="str">
            <v/>
          </cell>
        </row>
        <row r="5603">
          <cell r="S5603" t="str">
            <v/>
          </cell>
        </row>
        <row r="5604">
          <cell r="S5604" t="str">
            <v/>
          </cell>
        </row>
        <row r="5605">
          <cell r="S5605" t="str">
            <v/>
          </cell>
        </row>
        <row r="5606">
          <cell r="S5606" t="str">
            <v/>
          </cell>
        </row>
        <row r="5607">
          <cell r="S5607" t="str">
            <v/>
          </cell>
        </row>
        <row r="5608">
          <cell r="S5608" t="str">
            <v/>
          </cell>
        </row>
        <row r="5609">
          <cell r="S5609" t="str">
            <v/>
          </cell>
        </row>
        <row r="5610">
          <cell r="S5610" t="str">
            <v/>
          </cell>
        </row>
        <row r="5611">
          <cell r="S5611" t="str">
            <v/>
          </cell>
        </row>
        <row r="5612">
          <cell r="S5612" t="str">
            <v/>
          </cell>
        </row>
        <row r="5613">
          <cell r="S5613" t="str">
            <v/>
          </cell>
        </row>
        <row r="5614">
          <cell r="S5614" t="str">
            <v/>
          </cell>
        </row>
        <row r="5615">
          <cell r="S5615" t="str">
            <v/>
          </cell>
        </row>
        <row r="5616">
          <cell r="S5616" t="str">
            <v/>
          </cell>
        </row>
        <row r="5617">
          <cell r="S5617" t="str">
            <v/>
          </cell>
        </row>
        <row r="5618">
          <cell r="S5618" t="str">
            <v/>
          </cell>
        </row>
        <row r="5619">
          <cell r="S5619" t="str">
            <v/>
          </cell>
        </row>
        <row r="5620">
          <cell r="S5620" t="str">
            <v/>
          </cell>
        </row>
        <row r="5621">
          <cell r="S5621" t="str">
            <v/>
          </cell>
        </row>
        <row r="5622">
          <cell r="S5622" t="str">
            <v/>
          </cell>
        </row>
        <row r="5623">
          <cell r="S5623" t="str">
            <v/>
          </cell>
        </row>
        <row r="5624">
          <cell r="S5624" t="str">
            <v/>
          </cell>
        </row>
        <row r="5625">
          <cell r="S5625" t="str">
            <v/>
          </cell>
        </row>
        <row r="5626">
          <cell r="S5626" t="str">
            <v/>
          </cell>
        </row>
        <row r="5627">
          <cell r="S5627" t="str">
            <v/>
          </cell>
        </row>
        <row r="5628">
          <cell r="S5628" t="str">
            <v/>
          </cell>
        </row>
        <row r="5629">
          <cell r="S5629" t="str">
            <v/>
          </cell>
        </row>
        <row r="5630">
          <cell r="S5630" t="str">
            <v/>
          </cell>
        </row>
        <row r="5631">
          <cell r="S5631" t="str">
            <v/>
          </cell>
        </row>
        <row r="5632">
          <cell r="S5632" t="str">
            <v/>
          </cell>
        </row>
        <row r="5633">
          <cell r="S5633" t="str">
            <v/>
          </cell>
        </row>
        <row r="5634">
          <cell r="S5634" t="str">
            <v/>
          </cell>
        </row>
        <row r="5635">
          <cell r="S5635" t="str">
            <v/>
          </cell>
        </row>
        <row r="5636">
          <cell r="S5636" t="str">
            <v/>
          </cell>
        </row>
        <row r="5637">
          <cell r="S5637" t="str">
            <v/>
          </cell>
        </row>
        <row r="5638">
          <cell r="S5638" t="str">
            <v/>
          </cell>
        </row>
        <row r="5639">
          <cell r="S5639" t="str">
            <v/>
          </cell>
        </row>
        <row r="5640">
          <cell r="S5640" t="str">
            <v/>
          </cell>
        </row>
        <row r="5641">
          <cell r="S5641" t="str">
            <v/>
          </cell>
        </row>
        <row r="5642">
          <cell r="S5642" t="str">
            <v/>
          </cell>
        </row>
        <row r="5643">
          <cell r="S5643" t="str">
            <v/>
          </cell>
        </row>
        <row r="5644">
          <cell r="S5644" t="str">
            <v/>
          </cell>
        </row>
        <row r="5645">
          <cell r="S5645" t="str">
            <v/>
          </cell>
        </row>
        <row r="5646">
          <cell r="S5646" t="str">
            <v/>
          </cell>
        </row>
        <row r="5647">
          <cell r="S5647" t="str">
            <v/>
          </cell>
        </row>
        <row r="5648">
          <cell r="S5648" t="str">
            <v/>
          </cell>
        </row>
        <row r="5649">
          <cell r="S5649" t="str">
            <v/>
          </cell>
        </row>
        <row r="5650">
          <cell r="S5650" t="str">
            <v/>
          </cell>
        </row>
        <row r="5651">
          <cell r="S5651" t="str">
            <v/>
          </cell>
        </row>
        <row r="5652">
          <cell r="S5652" t="str">
            <v/>
          </cell>
        </row>
        <row r="5653">
          <cell r="S5653" t="str">
            <v/>
          </cell>
        </row>
        <row r="5654">
          <cell r="S5654" t="str">
            <v/>
          </cell>
        </row>
        <row r="5655">
          <cell r="S5655" t="str">
            <v/>
          </cell>
        </row>
        <row r="5656">
          <cell r="S5656" t="str">
            <v/>
          </cell>
        </row>
        <row r="5657">
          <cell r="S5657" t="str">
            <v/>
          </cell>
        </row>
        <row r="5658">
          <cell r="S5658" t="str">
            <v/>
          </cell>
        </row>
        <row r="5659">
          <cell r="S5659" t="str">
            <v/>
          </cell>
        </row>
        <row r="5660">
          <cell r="S5660" t="str">
            <v/>
          </cell>
        </row>
        <row r="5661">
          <cell r="S5661" t="str">
            <v/>
          </cell>
        </row>
        <row r="5662">
          <cell r="S5662" t="str">
            <v/>
          </cell>
        </row>
        <row r="5663">
          <cell r="S5663" t="str">
            <v/>
          </cell>
        </row>
        <row r="5664">
          <cell r="S5664" t="str">
            <v/>
          </cell>
        </row>
        <row r="5665">
          <cell r="S5665" t="str">
            <v/>
          </cell>
        </row>
        <row r="5666">
          <cell r="S5666" t="str">
            <v/>
          </cell>
        </row>
        <row r="5667">
          <cell r="S5667" t="str">
            <v/>
          </cell>
        </row>
        <row r="5668">
          <cell r="S5668" t="str">
            <v/>
          </cell>
        </row>
        <row r="5669">
          <cell r="S5669" t="str">
            <v/>
          </cell>
        </row>
        <row r="5670">
          <cell r="S5670" t="str">
            <v/>
          </cell>
        </row>
        <row r="5671">
          <cell r="S5671" t="str">
            <v/>
          </cell>
        </row>
        <row r="5672">
          <cell r="S5672" t="str">
            <v/>
          </cell>
        </row>
        <row r="5673">
          <cell r="S5673" t="str">
            <v/>
          </cell>
        </row>
        <row r="5674">
          <cell r="S5674" t="str">
            <v/>
          </cell>
        </row>
        <row r="5675">
          <cell r="S5675" t="str">
            <v/>
          </cell>
        </row>
        <row r="5676">
          <cell r="S5676" t="str">
            <v/>
          </cell>
        </row>
        <row r="5677">
          <cell r="S5677" t="str">
            <v/>
          </cell>
        </row>
        <row r="5678">
          <cell r="S5678" t="str">
            <v/>
          </cell>
        </row>
        <row r="5679">
          <cell r="S5679" t="str">
            <v/>
          </cell>
        </row>
        <row r="5680">
          <cell r="S5680" t="str">
            <v/>
          </cell>
        </row>
        <row r="5681">
          <cell r="S5681" t="str">
            <v/>
          </cell>
        </row>
        <row r="5682">
          <cell r="S5682" t="str">
            <v/>
          </cell>
        </row>
        <row r="5683">
          <cell r="S5683" t="str">
            <v/>
          </cell>
        </row>
        <row r="5684">
          <cell r="S5684" t="str">
            <v/>
          </cell>
        </row>
        <row r="5685">
          <cell r="S5685" t="str">
            <v/>
          </cell>
        </row>
        <row r="5686">
          <cell r="S5686" t="str">
            <v/>
          </cell>
        </row>
        <row r="5687">
          <cell r="S5687" t="str">
            <v/>
          </cell>
        </row>
        <row r="5688">
          <cell r="S5688" t="str">
            <v/>
          </cell>
        </row>
        <row r="5689">
          <cell r="S5689" t="str">
            <v/>
          </cell>
        </row>
        <row r="5690">
          <cell r="S5690" t="str">
            <v/>
          </cell>
        </row>
        <row r="5691">
          <cell r="S5691" t="str">
            <v/>
          </cell>
        </row>
        <row r="5692">
          <cell r="S5692" t="str">
            <v/>
          </cell>
        </row>
        <row r="5693">
          <cell r="S5693" t="str">
            <v/>
          </cell>
        </row>
        <row r="5694">
          <cell r="S5694" t="str">
            <v/>
          </cell>
        </row>
        <row r="5695">
          <cell r="S5695" t="str">
            <v/>
          </cell>
        </row>
        <row r="5696">
          <cell r="S5696" t="str">
            <v/>
          </cell>
        </row>
        <row r="5697">
          <cell r="S5697" t="str">
            <v/>
          </cell>
        </row>
        <row r="5698">
          <cell r="S5698" t="str">
            <v/>
          </cell>
        </row>
        <row r="5699">
          <cell r="S5699" t="str">
            <v/>
          </cell>
        </row>
        <row r="5700">
          <cell r="S5700" t="str">
            <v/>
          </cell>
        </row>
        <row r="5701">
          <cell r="S5701" t="str">
            <v/>
          </cell>
        </row>
        <row r="5702">
          <cell r="S5702" t="str">
            <v/>
          </cell>
        </row>
        <row r="5703">
          <cell r="S5703" t="str">
            <v/>
          </cell>
        </row>
        <row r="5704">
          <cell r="S5704" t="str">
            <v/>
          </cell>
        </row>
        <row r="5705">
          <cell r="S5705" t="str">
            <v/>
          </cell>
        </row>
        <row r="5706">
          <cell r="S5706" t="str">
            <v/>
          </cell>
        </row>
        <row r="5707">
          <cell r="S5707" t="str">
            <v/>
          </cell>
        </row>
        <row r="5708">
          <cell r="S5708" t="str">
            <v/>
          </cell>
        </row>
        <row r="5709">
          <cell r="S5709" t="str">
            <v/>
          </cell>
        </row>
        <row r="5710">
          <cell r="S5710" t="str">
            <v/>
          </cell>
        </row>
        <row r="5711">
          <cell r="S5711" t="str">
            <v/>
          </cell>
        </row>
        <row r="5712">
          <cell r="S5712" t="str">
            <v/>
          </cell>
        </row>
        <row r="5713">
          <cell r="S5713" t="str">
            <v/>
          </cell>
        </row>
        <row r="5714">
          <cell r="S5714" t="str">
            <v/>
          </cell>
        </row>
        <row r="5715">
          <cell r="S5715" t="str">
            <v/>
          </cell>
        </row>
        <row r="5716">
          <cell r="S5716" t="str">
            <v/>
          </cell>
        </row>
        <row r="5717">
          <cell r="S5717" t="str">
            <v/>
          </cell>
        </row>
        <row r="5718">
          <cell r="S5718" t="str">
            <v/>
          </cell>
        </row>
        <row r="5719">
          <cell r="S5719" t="str">
            <v/>
          </cell>
        </row>
        <row r="5720">
          <cell r="S5720" t="str">
            <v/>
          </cell>
        </row>
        <row r="5721">
          <cell r="S5721" t="str">
            <v/>
          </cell>
        </row>
        <row r="5722">
          <cell r="S5722" t="str">
            <v/>
          </cell>
        </row>
        <row r="5723">
          <cell r="S5723" t="str">
            <v/>
          </cell>
        </row>
        <row r="5724">
          <cell r="S5724" t="str">
            <v/>
          </cell>
        </row>
        <row r="5725">
          <cell r="S5725" t="str">
            <v/>
          </cell>
        </row>
        <row r="5726">
          <cell r="S5726" t="str">
            <v/>
          </cell>
        </row>
        <row r="5727">
          <cell r="S5727" t="str">
            <v/>
          </cell>
        </row>
        <row r="5728">
          <cell r="S5728" t="str">
            <v/>
          </cell>
        </row>
        <row r="5729">
          <cell r="S5729" t="str">
            <v/>
          </cell>
        </row>
        <row r="5730">
          <cell r="S5730" t="str">
            <v/>
          </cell>
        </row>
        <row r="5731">
          <cell r="S5731" t="str">
            <v/>
          </cell>
        </row>
        <row r="5732">
          <cell r="S5732" t="str">
            <v/>
          </cell>
        </row>
        <row r="5733">
          <cell r="S5733" t="str">
            <v/>
          </cell>
        </row>
        <row r="5734">
          <cell r="S5734" t="str">
            <v/>
          </cell>
        </row>
        <row r="5735">
          <cell r="S5735" t="str">
            <v/>
          </cell>
        </row>
        <row r="5736">
          <cell r="S5736" t="str">
            <v/>
          </cell>
        </row>
        <row r="5737">
          <cell r="S5737" t="str">
            <v/>
          </cell>
        </row>
        <row r="5738">
          <cell r="S5738" t="str">
            <v/>
          </cell>
        </row>
        <row r="5739">
          <cell r="S5739" t="str">
            <v/>
          </cell>
        </row>
        <row r="5740">
          <cell r="S5740" t="str">
            <v/>
          </cell>
        </row>
        <row r="5741">
          <cell r="S5741" t="str">
            <v/>
          </cell>
        </row>
        <row r="5742">
          <cell r="S5742" t="str">
            <v/>
          </cell>
        </row>
        <row r="5743">
          <cell r="S5743" t="str">
            <v/>
          </cell>
        </row>
        <row r="5744">
          <cell r="S5744" t="str">
            <v/>
          </cell>
        </row>
        <row r="5745">
          <cell r="S5745" t="str">
            <v/>
          </cell>
        </row>
        <row r="5746">
          <cell r="S5746" t="str">
            <v/>
          </cell>
        </row>
        <row r="5747">
          <cell r="S5747" t="str">
            <v/>
          </cell>
        </row>
        <row r="5748">
          <cell r="S5748" t="str">
            <v/>
          </cell>
        </row>
        <row r="5749">
          <cell r="S5749" t="str">
            <v/>
          </cell>
        </row>
        <row r="5750">
          <cell r="S5750" t="str">
            <v/>
          </cell>
        </row>
        <row r="5751">
          <cell r="S5751" t="str">
            <v/>
          </cell>
        </row>
        <row r="5752">
          <cell r="S5752" t="str">
            <v/>
          </cell>
        </row>
        <row r="5753">
          <cell r="S5753" t="str">
            <v/>
          </cell>
        </row>
        <row r="5754">
          <cell r="S5754" t="str">
            <v/>
          </cell>
        </row>
        <row r="5755">
          <cell r="S5755" t="str">
            <v/>
          </cell>
        </row>
        <row r="5756">
          <cell r="S5756" t="str">
            <v/>
          </cell>
        </row>
        <row r="5757">
          <cell r="S5757" t="str">
            <v/>
          </cell>
        </row>
        <row r="5758">
          <cell r="S5758" t="str">
            <v/>
          </cell>
        </row>
        <row r="5759">
          <cell r="S5759" t="str">
            <v/>
          </cell>
        </row>
        <row r="5760">
          <cell r="S5760" t="str">
            <v/>
          </cell>
        </row>
        <row r="5761">
          <cell r="S5761" t="str">
            <v/>
          </cell>
        </row>
        <row r="5762">
          <cell r="S5762" t="str">
            <v/>
          </cell>
        </row>
        <row r="5763">
          <cell r="S5763" t="str">
            <v/>
          </cell>
        </row>
        <row r="5764">
          <cell r="S5764" t="str">
            <v/>
          </cell>
        </row>
        <row r="5765">
          <cell r="S5765" t="str">
            <v/>
          </cell>
        </row>
        <row r="5766">
          <cell r="S5766" t="str">
            <v/>
          </cell>
        </row>
        <row r="5767">
          <cell r="S5767" t="str">
            <v/>
          </cell>
        </row>
        <row r="5768">
          <cell r="S5768" t="str">
            <v/>
          </cell>
        </row>
        <row r="5769">
          <cell r="S5769" t="str">
            <v/>
          </cell>
        </row>
        <row r="5770">
          <cell r="S5770" t="str">
            <v/>
          </cell>
        </row>
        <row r="5771">
          <cell r="S5771" t="str">
            <v/>
          </cell>
        </row>
        <row r="5772">
          <cell r="S5772" t="str">
            <v/>
          </cell>
        </row>
        <row r="5773">
          <cell r="S5773" t="str">
            <v/>
          </cell>
        </row>
        <row r="5774">
          <cell r="S5774" t="str">
            <v/>
          </cell>
        </row>
        <row r="5775">
          <cell r="S5775" t="str">
            <v/>
          </cell>
        </row>
        <row r="5776">
          <cell r="S5776" t="str">
            <v/>
          </cell>
        </row>
        <row r="5777">
          <cell r="S5777" t="str">
            <v/>
          </cell>
        </row>
        <row r="5778">
          <cell r="S5778" t="str">
            <v/>
          </cell>
        </row>
        <row r="5779">
          <cell r="S5779" t="str">
            <v/>
          </cell>
        </row>
        <row r="5780">
          <cell r="S5780" t="str">
            <v/>
          </cell>
        </row>
        <row r="5781">
          <cell r="S5781" t="str">
            <v/>
          </cell>
        </row>
        <row r="5782">
          <cell r="S5782" t="str">
            <v/>
          </cell>
        </row>
        <row r="5783">
          <cell r="S5783" t="str">
            <v/>
          </cell>
        </row>
        <row r="5784">
          <cell r="S5784" t="str">
            <v/>
          </cell>
        </row>
        <row r="5785">
          <cell r="S5785" t="str">
            <v/>
          </cell>
        </row>
        <row r="5786">
          <cell r="S5786" t="str">
            <v/>
          </cell>
        </row>
        <row r="5787">
          <cell r="S5787" t="str">
            <v/>
          </cell>
        </row>
        <row r="5788">
          <cell r="S5788" t="str">
            <v/>
          </cell>
        </row>
        <row r="5789">
          <cell r="S5789" t="str">
            <v/>
          </cell>
        </row>
        <row r="5790">
          <cell r="S5790" t="str">
            <v/>
          </cell>
        </row>
        <row r="5791">
          <cell r="S5791" t="str">
            <v/>
          </cell>
        </row>
        <row r="5792">
          <cell r="S5792" t="str">
            <v/>
          </cell>
        </row>
        <row r="5793">
          <cell r="S5793" t="str">
            <v/>
          </cell>
        </row>
        <row r="5794">
          <cell r="S5794" t="str">
            <v/>
          </cell>
        </row>
        <row r="5795">
          <cell r="S5795" t="str">
            <v/>
          </cell>
        </row>
        <row r="5796">
          <cell r="S5796" t="str">
            <v/>
          </cell>
        </row>
        <row r="5797">
          <cell r="S5797" t="str">
            <v/>
          </cell>
        </row>
        <row r="5798">
          <cell r="S5798" t="str">
            <v/>
          </cell>
        </row>
        <row r="5799">
          <cell r="S5799" t="str">
            <v/>
          </cell>
        </row>
        <row r="5800">
          <cell r="S5800" t="str">
            <v/>
          </cell>
        </row>
        <row r="5801">
          <cell r="S5801" t="str">
            <v/>
          </cell>
        </row>
        <row r="5802">
          <cell r="S5802" t="str">
            <v/>
          </cell>
        </row>
        <row r="5803">
          <cell r="S5803" t="str">
            <v/>
          </cell>
        </row>
        <row r="5804">
          <cell r="S5804" t="str">
            <v/>
          </cell>
        </row>
        <row r="5805">
          <cell r="S5805" t="str">
            <v/>
          </cell>
        </row>
        <row r="5806">
          <cell r="S5806" t="str">
            <v/>
          </cell>
        </row>
        <row r="5807">
          <cell r="S5807" t="str">
            <v/>
          </cell>
        </row>
        <row r="5808">
          <cell r="S5808" t="str">
            <v/>
          </cell>
        </row>
        <row r="5809">
          <cell r="S5809" t="str">
            <v/>
          </cell>
        </row>
        <row r="5810">
          <cell r="S5810" t="str">
            <v/>
          </cell>
        </row>
        <row r="5811">
          <cell r="S5811" t="str">
            <v/>
          </cell>
        </row>
        <row r="5812">
          <cell r="S5812" t="str">
            <v/>
          </cell>
        </row>
        <row r="5813">
          <cell r="S5813" t="str">
            <v/>
          </cell>
        </row>
        <row r="5814">
          <cell r="S5814" t="str">
            <v/>
          </cell>
        </row>
        <row r="5815">
          <cell r="S5815" t="str">
            <v/>
          </cell>
        </row>
        <row r="5816">
          <cell r="S5816" t="str">
            <v/>
          </cell>
        </row>
        <row r="5817">
          <cell r="S5817" t="str">
            <v/>
          </cell>
        </row>
        <row r="5818">
          <cell r="S5818" t="str">
            <v/>
          </cell>
        </row>
        <row r="5819">
          <cell r="S5819" t="str">
            <v/>
          </cell>
        </row>
        <row r="5820">
          <cell r="S5820" t="str">
            <v/>
          </cell>
        </row>
        <row r="5821">
          <cell r="S5821" t="str">
            <v/>
          </cell>
        </row>
        <row r="5822">
          <cell r="S5822" t="str">
            <v/>
          </cell>
        </row>
        <row r="5823">
          <cell r="S5823" t="str">
            <v/>
          </cell>
        </row>
        <row r="5824">
          <cell r="S5824" t="str">
            <v/>
          </cell>
        </row>
        <row r="5825">
          <cell r="S5825" t="str">
            <v/>
          </cell>
        </row>
        <row r="5826">
          <cell r="S5826" t="str">
            <v/>
          </cell>
        </row>
        <row r="5827">
          <cell r="S5827" t="str">
            <v/>
          </cell>
        </row>
        <row r="5828">
          <cell r="S5828" t="str">
            <v/>
          </cell>
        </row>
        <row r="5829">
          <cell r="S5829" t="str">
            <v/>
          </cell>
        </row>
        <row r="5830">
          <cell r="S5830" t="str">
            <v/>
          </cell>
        </row>
        <row r="5831">
          <cell r="S5831" t="str">
            <v/>
          </cell>
        </row>
        <row r="5832">
          <cell r="S5832" t="str">
            <v/>
          </cell>
        </row>
        <row r="5833">
          <cell r="S5833" t="str">
            <v/>
          </cell>
        </row>
        <row r="5834">
          <cell r="S5834" t="str">
            <v/>
          </cell>
        </row>
        <row r="5835">
          <cell r="S5835" t="str">
            <v/>
          </cell>
        </row>
        <row r="5836">
          <cell r="S5836" t="str">
            <v/>
          </cell>
        </row>
        <row r="5837">
          <cell r="S5837" t="str">
            <v/>
          </cell>
        </row>
        <row r="5838">
          <cell r="S5838" t="str">
            <v/>
          </cell>
        </row>
        <row r="5839">
          <cell r="S5839" t="str">
            <v/>
          </cell>
        </row>
        <row r="5840">
          <cell r="S5840" t="str">
            <v/>
          </cell>
        </row>
        <row r="5841">
          <cell r="S5841" t="str">
            <v/>
          </cell>
        </row>
        <row r="5842">
          <cell r="S5842" t="str">
            <v/>
          </cell>
        </row>
        <row r="5843">
          <cell r="S5843" t="str">
            <v/>
          </cell>
        </row>
        <row r="5844">
          <cell r="S5844" t="str">
            <v/>
          </cell>
        </row>
        <row r="5845">
          <cell r="S5845" t="str">
            <v/>
          </cell>
        </row>
        <row r="5846">
          <cell r="S5846" t="str">
            <v/>
          </cell>
        </row>
        <row r="5847">
          <cell r="S5847" t="str">
            <v/>
          </cell>
        </row>
        <row r="5848">
          <cell r="S5848" t="str">
            <v/>
          </cell>
        </row>
        <row r="5849">
          <cell r="S5849" t="str">
            <v/>
          </cell>
        </row>
        <row r="5850">
          <cell r="S5850" t="str">
            <v/>
          </cell>
        </row>
        <row r="5851">
          <cell r="S5851" t="str">
            <v/>
          </cell>
        </row>
        <row r="5852">
          <cell r="S5852" t="str">
            <v/>
          </cell>
        </row>
        <row r="5853">
          <cell r="S5853" t="str">
            <v/>
          </cell>
        </row>
        <row r="5854">
          <cell r="S5854" t="str">
            <v/>
          </cell>
        </row>
        <row r="5855">
          <cell r="S5855" t="str">
            <v/>
          </cell>
        </row>
        <row r="5856">
          <cell r="S5856" t="str">
            <v/>
          </cell>
        </row>
        <row r="5857">
          <cell r="S5857" t="str">
            <v/>
          </cell>
        </row>
        <row r="5858">
          <cell r="S5858" t="str">
            <v/>
          </cell>
        </row>
        <row r="5859">
          <cell r="S5859" t="str">
            <v/>
          </cell>
        </row>
        <row r="5860">
          <cell r="S5860" t="str">
            <v/>
          </cell>
        </row>
        <row r="5861">
          <cell r="S5861" t="str">
            <v/>
          </cell>
        </row>
        <row r="5862">
          <cell r="S5862" t="str">
            <v/>
          </cell>
        </row>
        <row r="5863">
          <cell r="S5863" t="str">
            <v/>
          </cell>
        </row>
        <row r="5864">
          <cell r="S5864" t="str">
            <v/>
          </cell>
        </row>
        <row r="5865">
          <cell r="S5865" t="str">
            <v/>
          </cell>
        </row>
        <row r="5866">
          <cell r="S5866" t="str">
            <v/>
          </cell>
        </row>
        <row r="5867">
          <cell r="S5867" t="str">
            <v/>
          </cell>
        </row>
        <row r="5868">
          <cell r="S5868" t="str">
            <v/>
          </cell>
        </row>
        <row r="5869">
          <cell r="S5869" t="str">
            <v/>
          </cell>
        </row>
        <row r="5870">
          <cell r="S5870" t="str">
            <v/>
          </cell>
        </row>
        <row r="5871">
          <cell r="S5871" t="str">
            <v/>
          </cell>
        </row>
        <row r="5872">
          <cell r="S5872" t="str">
            <v/>
          </cell>
        </row>
        <row r="5873">
          <cell r="S5873" t="str">
            <v/>
          </cell>
        </row>
        <row r="5874">
          <cell r="S5874" t="str">
            <v/>
          </cell>
        </row>
        <row r="5875">
          <cell r="S5875" t="str">
            <v/>
          </cell>
        </row>
        <row r="5876">
          <cell r="S5876" t="str">
            <v/>
          </cell>
        </row>
        <row r="5877">
          <cell r="S5877" t="str">
            <v/>
          </cell>
        </row>
        <row r="5878">
          <cell r="S5878" t="str">
            <v/>
          </cell>
        </row>
        <row r="5879">
          <cell r="S5879" t="str">
            <v/>
          </cell>
        </row>
        <row r="5880">
          <cell r="S5880" t="str">
            <v/>
          </cell>
        </row>
        <row r="5881">
          <cell r="S5881" t="str">
            <v/>
          </cell>
        </row>
        <row r="5882">
          <cell r="S5882" t="str">
            <v/>
          </cell>
        </row>
        <row r="5883">
          <cell r="S5883" t="str">
            <v/>
          </cell>
        </row>
        <row r="5884">
          <cell r="S5884" t="str">
            <v/>
          </cell>
        </row>
        <row r="5885">
          <cell r="S5885" t="str">
            <v/>
          </cell>
        </row>
        <row r="5886">
          <cell r="S5886" t="str">
            <v/>
          </cell>
        </row>
        <row r="5887">
          <cell r="S5887" t="str">
            <v/>
          </cell>
        </row>
        <row r="5888">
          <cell r="S5888" t="str">
            <v/>
          </cell>
        </row>
        <row r="5889">
          <cell r="S5889" t="str">
            <v/>
          </cell>
        </row>
        <row r="5890">
          <cell r="S5890" t="str">
            <v/>
          </cell>
        </row>
        <row r="5891">
          <cell r="S5891" t="str">
            <v/>
          </cell>
        </row>
        <row r="5892">
          <cell r="S5892" t="str">
            <v/>
          </cell>
        </row>
        <row r="5893">
          <cell r="S5893" t="str">
            <v/>
          </cell>
        </row>
        <row r="5894">
          <cell r="S5894" t="str">
            <v/>
          </cell>
        </row>
        <row r="5895">
          <cell r="S5895" t="str">
            <v/>
          </cell>
        </row>
        <row r="5896">
          <cell r="S5896" t="str">
            <v/>
          </cell>
        </row>
        <row r="5897">
          <cell r="S5897" t="str">
            <v/>
          </cell>
        </row>
        <row r="5898">
          <cell r="S5898" t="str">
            <v/>
          </cell>
        </row>
        <row r="5899">
          <cell r="S5899" t="str">
            <v/>
          </cell>
        </row>
        <row r="5900">
          <cell r="S5900" t="str">
            <v/>
          </cell>
        </row>
        <row r="5901">
          <cell r="S5901" t="str">
            <v/>
          </cell>
        </row>
        <row r="5902">
          <cell r="S5902" t="str">
            <v/>
          </cell>
        </row>
        <row r="5903">
          <cell r="S5903" t="str">
            <v/>
          </cell>
        </row>
        <row r="5904">
          <cell r="S5904" t="str">
            <v/>
          </cell>
        </row>
        <row r="5905">
          <cell r="S5905" t="str">
            <v/>
          </cell>
        </row>
        <row r="5906">
          <cell r="S5906" t="str">
            <v/>
          </cell>
        </row>
        <row r="5907">
          <cell r="S5907" t="str">
            <v/>
          </cell>
        </row>
        <row r="5908">
          <cell r="S5908" t="str">
            <v/>
          </cell>
        </row>
        <row r="5909">
          <cell r="S5909" t="str">
            <v/>
          </cell>
        </row>
        <row r="5910">
          <cell r="S5910" t="str">
            <v/>
          </cell>
        </row>
        <row r="5911">
          <cell r="S5911" t="str">
            <v/>
          </cell>
        </row>
        <row r="5912">
          <cell r="S5912" t="str">
            <v/>
          </cell>
        </row>
        <row r="5913">
          <cell r="S5913" t="str">
            <v/>
          </cell>
        </row>
        <row r="5914">
          <cell r="S5914" t="str">
            <v/>
          </cell>
        </row>
        <row r="5915">
          <cell r="S5915" t="str">
            <v/>
          </cell>
        </row>
        <row r="5916">
          <cell r="S5916" t="str">
            <v/>
          </cell>
        </row>
        <row r="5917">
          <cell r="S5917" t="str">
            <v/>
          </cell>
        </row>
        <row r="5918">
          <cell r="S5918" t="str">
            <v/>
          </cell>
        </row>
        <row r="5919">
          <cell r="S5919" t="str">
            <v/>
          </cell>
        </row>
        <row r="5920">
          <cell r="S5920" t="str">
            <v/>
          </cell>
        </row>
        <row r="5921">
          <cell r="S5921" t="str">
            <v/>
          </cell>
        </row>
        <row r="5922">
          <cell r="S5922" t="str">
            <v/>
          </cell>
        </row>
        <row r="5923">
          <cell r="S5923" t="str">
            <v/>
          </cell>
        </row>
        <row r="5924">
          <cell r="S5924" t="str">
            <v/>
          </cell>
        </row>
        <row r="5925">
          <cell r="S5925" t="str">
            <v/>
          </cell>
        </row>
        <row r="5926">
          <cell r="S5926" t="str">
            <v/>
          </cell>
        </row>
        <row r="5927">
          <cell r="S5927" t="str">
            <v/>
          </cell>
        </row>
        <row r="5928">
          <cell r="S5928" t="str">
            <v/>
          </cell>
        </row>
        <row r="5929">
          <cell r="S5929" t="str">
            <v/>
          </cell>
        </row>
        <row r="5930">
          <cell r="S5930" t="str">
            <v/>
          </cell>
        </row>
        <row r="5931">
          <cell r="S5931" t="str">
            <v/>
          </cell>
        </row>
        <row r="5932">
          <cell r="S5932" t="str">
            <v/>
          </cell>
        </row>
        <row r="5933">
          <cell r="S5933" t="str">
            <v/>
          </cell>
        </row>
        <row r="5934">
          <cell r="S5934" t="str">
            <v/>
          </cell>
        </row>
        <row r="5935">
          <cell r="S5935" t="str">
            <v/>
          </cell>
        </row>
        <row r="5936">
          <cell r="S5936" t="str">
            <v/>
          </cell>
        </row>
        <row r="5937">
          <cell r="S5937" t="str">
            <v/>
          </cell>
        </row>
        <row r="5938">
          <cell r="S5938" t="str">
            <v/>
          </cell>
        </row>
        <row r="5939">
          <cell r="S5939" t="str">
            <v/>
          </cell>
        </row>
        <row r="5940">
          <cell r="S5940" t="str">
            <v/>
          </cell>
        </row>
        <row r="5941">
          <cell r="S5941" t="str">
            <v/>
          </cell>
        </row>
        <row r="5942">
          <cell r="S5942" t="str">
            <v/>
          </cell>
        </row>
        <row r="5943">
          <cell r="S5943" t="str">
            <v/>
          </cell>
        </row>
        <row r="5944">
          <cell r="S5944" t="str">
            <v/>
          </cell>
        </row>
        <row r="5945">
          <cell r="S5945" t="str">
            <v/>
          </cell>
        </row>
        <row r="5946">
          <cell r="S5946" t="str">
            <v/>
          </cell>
        </row>
        <row r="5947">
          <cell r="S5947" t="str">
            <v/>
          </cell>
        </row>
        <row r="5948">
          <cell r="S5948" t="str">
            <v/>
          </cell>
        </row>
        <row r="5949">
          <cell r="S5949" t="str">
            <v/>
          </cell>
        </row>
        <row r="5950">
          <cell r="S5950" t="str">
            <v/>
          </cell>
        </row>
        <row r="5951">
          <cell r="S5951" t="str">
            <v/>
          </cell>
        </row>
        <row r="5952">
          <cell r="S5952" t="str">
            <v/>
          </cell>
        </row>
        <row r="5953">
          <cell r="S5953" t="str">
            <v/>
          </cell>
        </row>
        <row r="5954">
          <cell r="S5954" t="str">
            <v/>
          </cell>
        </row>
        <row r="5955">
          <cell r="S5955" t="str">
            <v/>
          </cell>
        </row>
        <row r="5956">
          <cell r="S5956" t="str">
            <v/>
          </cell>
        </row>
        <row r="5957">
          <cell r="S5957" t="str">
            <v/>
          </cell>
        </row>
        <row r="5958">
          <cell r="S5958" t="str">
            <v/>
          </cell>
        </row>
        <row r="5959">
          <cell r="S5959" t="str">
            <v/>
          </cell>
        </row>
        <row r="5960">
          <cell r="S5960" t="str">
            <v/>
          </cell>
        </row>
        <row r="5961">
          <cell r="S5961" t="str">
            <v/>
          </cell>
        </row>
        <row r="5962">
          <cell r="S5962" t="str">
            <v/>
          </cell>
        </row>
        <row r="5963">
          <cell r="S5963" t="str">
            <v/>
          </cell>
        </row>
        <row r="5964">
          <cell r="S5964" t="str">
            <v/>
          </cell>
        </row>
        <row r="5965">
          <cell r="S5965" t="str">
            <v/>
          </cell>
        </row>
        <row r="5966">
          <cell r="S5966" t="str">
            <v/>
          </cell>
        </row>
        <row r="5967">
          <cell r="S5967" t="str">
            <v/>
          </cell>
        </row>
        <row r="5968">
          <cell r="S5968" t="str">
            <v/>
          </cell>
        </row>
        <row r="5969">
          <cell r="S5969" t="str">
            <v/>
          </cell>
        </row>
        <row r="5970">
          <cell r="S5970" t="str">
            <v/>
          </cell>
        </row>
        <row r="5971">
          <cell r="S5971" t="str">
            <v/>
          </cell>
        </row>
        <row r="5972">
          <cell r="S5972" t="str">
            <v/>
          </cell>
        </row>
        <row r="5973">
          <cell r="S5973" t="str">
            <v/>
          </cell>
        </row>
        <row r="5974">
          <cell r="S5974" t="str">
            <v/>
          </cell>
        </row>
        <row r="5975">
          <cell r="S5975" t="str">
            <v/>
          </cell>
        </row>
        <row r="5976">
          <cell r="S5976" t="str">
            <v/>
          </cell>
        </row>
        <row r="5977">
          <cell r="S5977" t="str">
            <v/>
          </cell>
        </row>
        <row r="5978">
          <cell r="S5978" t="str">
            <v/>
          </cell>
        </row>
        <row r="5979">
          <cell r="S5979" t="str">
            <v/>
          </cell>
        </row>
        <row r="5980">
          <cell r="S5980" t="str">
            <v/>
          </cell>
        </row>
        <row r="5981">
          <cell r="S5981" t="str">
            <v/>
          </cell>
        </row>
        <row r="5982">
          <cell r="S5982" t="str">
            <v/>
          </cell>
        </row>
        <row r="5983">
          <cell r="S5983" t="str">
            <v/>
          </cell>
        </row>
        <row r="5984">
          <cell r="S5984" t="str">
            <v/>
          </cell>
        </row>
        <row r="5985">
          <cell r="S5985" t="str">
            <v/>
          </cell>
        </row>
        <row r="5986">
          <cell r="S5986" t="str">
            <v/>
          </cell>
        </row>
        <row r="5987">
          <cell r="S5987" t="str">
            <v/>
          </cell>
        </row>
        <row r="5988">
          <cell r="S5988" t="str">
            <v/>
          </cell>
        </row>
        <row r="5989">
          <cell r="S5989" t="str">
            <v/>
          </cell>
        </row>
        <row r="5990">
          <cell r="S5990" t="str">
            <v/>
          </cell>
        </row>
        <row r="5991">
          <cell r="S5991" t="str">
            <v/>
          </cell>
        </row>
        <row r="5992">
          <cell r="S5992" t="str">
            <v/>
          </cell>
        </row>
        <row r="5993">
          <cell r="S5993" t="str">
            <v/>
          </cell>
        </row>
        <row r="5994">
          <cell r="S5994" t="str">
            <v/>
          </cell>
        </row>
        <row r="5995">
          <cell r="S5995" t="str">
            <v/>
          </cell>
        </row>
        <row r="5996">
          <cell r="S5996" t="str">
            <v/>
          </cell>
        </row>
        <row r="5997">
          <cell r="S5997" t="str">
            <v/>
          </cell>
        </row>
        <row r="5998">
          <cell r="S5998" t="str">
            <v/>
          </cell>
        </row>
        <row r="5999">
          <cell r="S5999" t="str">
            <v/>
          </cell>
        </row>
        <row r="6000">
          <cell r="S6000" t="str">
            <v/>
          </cell>
        </row>
        <row r="6001">
          <cell r="S6001" t="str">
            <v/>
          </cell>
        </row>
        <row r="6002">
          <cell r="S6002" t="str">
            <v/>
          </cell>
        </row>
        <row r="6003">
          <cell r="S6003" t="str">
            <v/>
          </cell>
        </row>
        <row r="6004">
          <cell r="S6004" t="str">
            <v/>
          </cell>
        </row>
        <row r="6005">
          <cell r="S6005" t="str">
            <v/>
          </cell>
        </row>
        <row r="6006">
          <cell r="S6006" t="str">
            <v/>
          </cell>
        </row>
        <row r="6007">
          <cell r="S6007" t="str">
            <v/>
          </cell>
        </row>
        <row r="6008">
          <cell r="S6008" t="str">
            <v/>
          </cell>
        </row>
        <row r="6009">
          <cell r="S6009" t="str">
            <v/>
          </cell>
        </row>
        <row r="6010">
          <cell r="S6010" t="str">
            <v/>
          </cell>
        </row>
        <row r="6011">
          <cell r="S6011" t="str">
            <v/>
          </cell>
        </row>
        <row r="6012">
          <cell r="S6012" t="str">
            <v/>
          </cell>
        </row>
        <row r="6013">
          <cell r="S6013" t="str">
            <v/>
          </cell>
        </row>
        <row r="6014">
          <cell r="S6014" t="str">
            <v/>
          </cell>
        </row>
        <row r="6015">
          <cell r="S6015" t="str">
            <v/>
          </cell>
        </row>
        <row r="6016">
          <cell r="S6016" t="str">
            <v/>
          </cell>
        </row>
        <row r="6017">
          <cell r="S6017" t="str">
            <v/>
          </cell>
        </row>
        <row r="6018">
          <cell r="S6018" t="str">
            <v/>
          </cell>
        </row>
        <row r="6019">
          <cell r="S6019" t="str">
            <v/>
          </cell>
        </row>
        <row r="6020">
          <cell r="S6020" t="str">
            <v/>
          </cell>
        </row>
        <row r="6021">
          <cell r="S6021" t="str">
            <v/>
          </cell>
        </row>
        <row r="6022">
          <cell r="S6022" t="str">
            <v/>
          </cell>
        </row>
        <row r="6023">
          <cell r="S6023" t="str">
            <v/>
          </cell>
        </row>
        <row r="6024">
          <cell r="S6024" t="str">
            <v/>
          </cell>
        </row>
        <row r="6025">
          <cell r="S6025" t="str">
            <v/>
          </cell>
        </row>
        <row r="6026">
          <cell r="S6026" t="str">
            <v/>
          </cell>
        </row>
        <row r="6027">
          <cell r="S6027" t="str">
            <v/>
          </cell>
        </row>
        <row r="6028">
          <cell r="S6028" t="str">
            <v/>
          </cell>
        </row>
        <row r="6029">
          <cell r="S6029" t="str">
            <v/>
          </cell>
        </row>
        <row r="6030">
          <cell r="S6030" t="str">
            <v/>
          </cell>
        </row>
        <row r="6031">
          <cell r="S6031" t="str">
            <v/>
          </cell>
        </row>
        <row r="6032">
          <cell r="S6032" t="str">
            <v/>
          </cell>
        </row>
        <row r="6033">
          <cell r="S6033" t="str">
            <v/>
          </cell>
        </row>
        <row r="6034">
          <cell r="S6034" t="str">
            <v/>
          </cell>
        </row>
        <row r="6035">
          <cell r="S6035" t="str">
            <v/>
          </cell>
        </row>
        <row r="6036">
          <cell r="S6036" t="str">
            <v/>
          </cell>
        </row>
        <row r="6037">
          <cell r="S6037" t="str">
            <v/>
          </cell>
        </row>
        <row r="6038">
          <cell r="S6038" t="str">
            <v/>
          </cell>
        </row>
        <row r="6039">
          <cell r="S6039" t="str">
            <v/>
          </cell>
        </row>
        <row r="6040">
          <cell r="S6040" t="str">
            <v/>
          </cell>
        </row>
        <row r="6041">
          <cell r="S6041" t="str">
            <v/>
          </cell>
        </row>
        <row r="6042">
          <cell r="S6042" t="str">
            <v/>
          </cell>
        </row>
        <row r="6043">
          <cell r="S6043" t="str">
            <v/>
          </cell>
        </row>
        <row r="6044">
          <cell r="S6044" t="str">
            <v/>
          </cell>
        </row>
        <row r="6045">
          <cell r="S6045" t="str">
            <v/>
          </cell>
        </row>
        <row r="6046">
          <cell r="S6046" t="str">
            <v/>
          </cell>
        </row>
        <row r="6047">
          <cell r="S6047" t="str">
            <v/>
          </cell>
        </row>
        <row r="6048">
          <cell r="S6048" t="str">
            <v/>
          </cell>
        </row>
        <row r="6049">
          <cell r="S6049" t="str">
            <v/>
          </cell>
        </row>
        <row r="6050">
          <cell r="S6050" t="str">
            <v/>
          </cell>
        </row>
        <row r="6051">
          <cell r="S6051" t="str">
            <v/>
          </cell>
        </row>
        <row r="6052">
          <cell r="S6052" t="str">
            <v/>
          </cell>
        </row>
        <row r="6053">
          <cell r="S6053" t="str">
            <v/>
          </cell>
        </row>
        <row r="6054">
          <cell r="S6054" t="str">
            <v/>
          </cell>
        </row>
        <row r="6055">
          <cell r="S6055" t="str">
            <v/>
          </cell>
        </row>
        <row r="6056">
          <cell r="S6056" t="str">
            <v/>
          </cell>
        </row>
        <row r="6057">
          <cell r="S6057" t="str">
            <v/>
          </cell>
        </row>
        <row r="6058">
          <cell r="S6058" t="str">
            <v/>
          </cell>
        </row>
        <row r="6059">
          <cell r="S6059" t="str">
            <v/>
          </cell>
        </row>
        <row r="6060">
          <cell r="S6060" t="str">
            <v/>
          </cell>
        </row>
        <row r="6061">
          <cell r="S6061" t="str">
            <v/>
          </cell>
        </row>
        <row r="6062">
          <cell r="S6062" t="str">
            <v/>
          </cell>
        </row>
        <row r="6063">
          <cell r="S6063" t="str">
            <v/>
          </cell>
        </row>
        <row r="6064">
          <cell r="S6064" t="str">
            <v/>
          </cell>
        </row>
        <row r="6065">
          <cell r="S6065" t="str">
            <v/>
          </cell>
        </row>
        <row r="6066">
          <cell r="S6066" t="str">
            <v/>
          </cell>
        </row>
        <row r="6067">
          <cell r="S6067" t="str">
            <v/>
          </cell>
        </row>
        <row r="6068">
          <cell r="S6068" t="str">
            <v/>
          </cell>
        </row>
        <row r="6069">
          <cell r="S6069" t="str">
            <v/>
          </cell>
        </row>
        <row r="6070">
          <cell r="S6070" t="str">
            <v/>
          </cell>
        </row>
        <row r="6071">
          <cell r="S6071" t="str">
            <v/>
          </cell>
        </row>
        <row r="6072">
          <cell r="S6072" t="str">
            <v/>
          </cell>
        </row>
        <row r="6073">
          <cell r="S6073" t="str">
            <v/>
          </cell>
        </row>
        <row r="6074">
          <cell r="S6074" t="str">
            <v/>
          </cell>
        </row>
        <row r="6075">
          <cell r="S6075" t="str">
            <v/>
          </cell>
        </row>
        <row r="6076">
          <cell r="S6076" t="str">
            <v/>
          </cell>
        </row>
        <row r="6077">
          <cell r="S6077" t="str">
            <v/>
          </cell>
        </row>
        <row r="6078">
          <cell r="S6078" t="str">
            <v/>
          </cell>
        </row>
        <row r="6079">
          <cell r="S6079" t="str">
            <v/>
          </cell>
        </row>
        <row r="6080">
          <cell r="S6080" t="str">
            <v/>
          </cell>
        </row>
        <row r="6081">
          <cell r="S6081" t="str">
            <v/>
          </cell>
        </row>
        <row r="6082">
          <cell r="S6082" t="str">
            <v/>
          </cell>
        </row>
        <row r="6083">
          <cell r="S6083" t="str">
            <v/>
          </cell>
        </row>
        <row r="6084">
          <cell r="S6084" t="str">
            <v/>
          </cell>
        </row>
        <row r="6085">
          <cell r="S6085" t="str">
            <v/>
          </cell>
        </row>
        <row r="6086">
          <cell r="S6086" t="str">
            <v/>
          </cell>
        </row>
        <row r="6087">
          <cell r="S6087" t="str">
            <v/>
          </cell>
        </row>
        <row r="6088">
          <cell r="S6088" t="str">
            <v/>
          </cell>
        </row>
        <row r="6089">
          <cell r="S6089" t="str">
            <v/>
          </cell>
        </row>
        <row r="6090">
          <cell r="S6090" t="str">
            <v/>
          </cell>
        </row>
        <row r="6091">
          <cell r="S6091" t="str">
            <v/>
          </cell>
        </row>
        <row r="6092">
          <cell r="S6092" t="str">
            <v/>
          </cell>
        </row>
        <row r="6093">
          <cell r="S6093" t="str">
            <v/>
          </cell>
        </row>
        <row r="6094">
          <cell r="S6094" t="str">
            <v/>
          </cell>
        </row>
        <row r="6095">
          <cell r="S6095" t="str">
            <v/>
          </cell>
        </row>
        <row r="6096">
          <cell r="S6096" t="str">
            <v/>
          </cell>
        </row>
        <row r="6097">
          <cell r="S6097" t="str">
            <v/>
          </cell>
        </row>
        <row r="6098">
          <cell r="S6098" t="str">
            <v/>
          </cell>
        </row>
        <row r="6099">
          <cell r="S6099" t="str">
            <v/>
          </cell>
        </row>
        <row r="6100">
          <cell r="S6100" t="str">
            <v/>
          </cell>
        </row>
        <row r="6101">
          <cell r="S6101" t="str">
            <v/>
          </cell>
        </row>
        <row r="6102">
          <cell r="S6102" t="str">
            <v/>
          </cell>
        </row>
        <row r="6103">
          <cell r="S6103" t="str">
            <v/>
          </cell>
        </row>
        <row r="6104">
          <cell r="S6104" t="str">
            <v/>
          </cell>
        </row>
        <row r="6105">
          <cell r="S6105" t="str">
            <v/>
          </cell>
        </row>
        <row r="6106">
          <cell r="S6106" t="str">
            <v/>
          </cell>
        </row>
        <row r="6107">
          <cell r="S6107" t="str">
            <v/>
          </cell>
        </row>
        <row r="6108">
          <cell r="S6108" t="str">
            <v/>
          </cell>
        </row>
        <row r="6109">
          <cell r="S6109" t="str">
            <v/>
          </cell>
        </row>
        <row r="6110">
          <cell r="S6110" t="str">
            <v/>
          </cell>
        </row>
        <row r="6111">
          <cell r="S6111" t="str">
            <v/>
          </cell>
        </row>
        <row r="6112">
          <cell r="S6112" t="str">
            <v/>
          </cell>
        </row>
        <row r="6113">
          <cell r="S6113" t="str">
            <v/>
          </cell>
        </row>
        <row r="6114">
          <cell r="S6114" t="str">
            <v/>
          </cell>
        </row>
        <row r="6115">
          <cell r="S6115" t="str">
            <v/>
          </cell>
        </row>
        <row r="6116">
          <cell r="S6116" t="str">
            <v/>
          </cell>
        </row>
        <row r="6117">
          <cell r="S6117" t="str">
            <v/>
          </cell>
        </row>
        <row r="6118">
          <cell r="S6118" t="str">
            <v/>
          </cell>
        </row>
        <row r="6119">
          <cell r="S6119" t="str">
            <v/>
          </cell>
        </row>
        <row r="6120">
          <cell r="S6120" t="str">
            <v/>
          </cell>
        </row>
        <row r="6121">
          <cell r="S6121" t="str">
            <v/>
          </cell>
        </row>
        <row r="6122">
          <cell r="S6122" t="str">
            <v/>
          </cell>
        </row>
        <row r="6123">
          <cell r="S6123" t="str">
            <v/>
          </cell>
        </row>
        <row r="6124">
          <cell r="S6124" t="str">
            <v/>
          </cell>
        </row>
        <row r="6125">
          <cell r="S6125" t="str">
            <v/>
          </cell>
        </row>
        <row r="6126">
          <cell r="S6126" t="str">
            <v/>
          </cell>
        </row>
        <row r="6127">
          <cell r="S6127" t="str">
            <v/>
          </cell>
        </row>
        <row r="6128">
          <cell r="S6128" t="str">
            <v/>
          </cell>
        </row>
        <row r="6129">
          <cell r="S6129" t="str">
            <v/>
          </cell>
        </row>
        <row r="6130">
          <cell r="S6130" t="str">
            <v/>
          </cell>
        </row>
        <row r="6131">
          <cell r="S6131" t="str">
            <v/>
          </cell>
        </row>
        <row r="6132">
          <cell r="S6132" t="str">
            <v/>
          </cell>
        </row>
        <row r="6133">
          <cell r="S6133" t="str">
            <v/>
          </cell>
        </row>
        <row r="6134">
          <cell r="S6134" t="str">
            <v/>
          </cell>
        </row>
        <row r="6135">
          <cell r="S6135" t="str">
            <v/>
          </cell>
        </row>
        <row r="6136">
          <cell r="S6136" t="str">
            <v/>
          </cell>
        </row>
        <row r="6137">
          <cell r="S6137" t="str">
            <v/>
          </cell>
        </row>
        <row r="6138">
          <cell r="S6138" t="str">
            <v/>
          </cell>
        </row>
        <row r="6139">
          <cell r="S6139" t="str">
            <v/>
          </cell>
        </row>
        <row r="6140">
          <cell r="S6140" t="str">
            <v/>
          </cell>
        </row>
        <row r="6141">
          <cell r="S6141" t="str">
            <v/>
          </cell>
        </row>
        <row r="6142">
          <cell r="S6142" t="str">
            <v/>
          </cell>
        </row>
        <row r="6143">
          <cell r="S6143" t="str">
            <v/>
          </cell>
        </row>
        <row r="6144">
          <cell r="S6144" t="str">
            <v/>
          </cell>
        </row>
        <row r="6145">
          <cell r="S6145" t="str">
            <v/>
          </cell>
        </row>
        <row r="6146">
          <cell r="S6146" t="str">
            <v/>
          </cell>
        </row>
        <row r="6147">
          <cell r="S6147" t="str">
            <v/>
          </cell>
        </row>
        <row r="6148">
          <cell r="S6148" t="str">
            <v/>
          </cell>
        </row>
        <row r="6149">
          <cell r="S6149" t="str">
            <v/>
          </cell>
        </row>
        <row r="6150">
          <cell r="S6150" t="str">
            <v/>
          </cell>
        </row>
        <row r="6151">
          <cell r="S6151" t="str">
            <v/>
          </cell>
        </row>
        <row r="6152">
          <cell r="S6152" t="str">
            <v/>
          </cell>
        </row>
        <row r="6153">
          <cell r="S6153" t="str">
            <v/>
          </cell>
        </row>
        <row r="6154">
          <cell r="S6154" t="str">
            <v/>
          </cell>
        </row>
        <row r="6155">
          <cell r="S6155" t="str">
            <v/>
          </cell>
        </row>
        <row r="6156">
          <cell r="S6156" t="str">
            <v/>
          </cell>
        </row>
        <row r="6157">
          <cell r="S6157" t="str">
            <v/>
          </cell>
        </row>
        <row r="6158">
          <cell r="S6158" t="str">
            <v/>
          </cell>
        </row>
        <row r="6159">
          <cell r="S6159" t="str">
            <v/>
          </cell>
        </row>
        <row r="6160">
          <cell r="S6160" t="str">
            <v/>
          </cell>
        </row>
        <row r="6161">
          <cell r="S6161" t="str">
            <v/>
          </cell>
        </row>
        <row r="6162">
          <cell r="S6162" t="str">
            <v/>
          </cell>
        </row>
        <row r="6163">
          <cell r="S6163" t="str">
            <v/>
          </cell>
        </row>
        <row r="6164">
          <cell r="S6164" t="str">
            <v/>
          </cell>
        </row>
        <row r="6165">
          <cell r="S6165" t="str">
            <v/>
          </cell>
        </row>
        <row r="6166">
          <cell r="S6166" t="str">
            <v/>
          </cell>
        </row>
        <row r="6167">
          <cell r="S6167" t="str">
            <v/>
          </cell>
        </row>
        <row r="6168">
          <cell r="S6168" t="str">
            <v/>
          </cell>
        </row>
        <row r="6169">
          <cell r="S6169" t="str">
            <v/>
          </cell>
        </row>
        <row r="6170">
          <cell r="S6170" t="str">
            <v/>
          </cell>
        </row>
        <row r="6171">
          <cell r="S6171" t="str">
            <v/>
          </cell>
        </row>
        <row r="6172">
          <cell r="S6172" t="str">
            <v/>
          </cell>
        </row>
        <row r="6173">
          <cell r="S6173" t="str">
            <v/>
          </cell>
        </row>
        <row r="6174">
          <cell r="S6174" t="str">
            <v/>
          </cell>
        </row>
        <row r="6175">
          <cell r="S6175" t="str">
            <v/>
          </cell>
        </row>
        <row r="6176">
          <cell r="S6176" t="str">
            <v/>
          </cell>
        </row>
        <row r="6177">
          <cell r="S6177" t="str">
            <v/>
          </cell>
        </row>
        <row r="6178">
          <cell r="S6178" t="str">
            <v/>
          </cell>
        </row>
        <row r="6179">
          <cell r="S6179" t="str">
            <v/>
          </cell>
        </row>
        <row r="6180">
          <cell r="S6180" t="str">
            <v/>
          </cell>
        </row>
        <row r="6181">
          <cell r="S6181" t="str">
            <v/>
          </cell>
        </row>
        <row r="6182">
          <cell r="S6182" t="str">
            <v/>
          </cell>
        </row>
        <row r="6183">
          <cell r="S6183" t="str">
            <v/>
          </cell>
        </row>
        <row r="6184">
          <cell r="S6184" t="str">
            <v/>
          </cell>
        </row>
        <row r="6185">
          <cell r="S6185" t="str">
            <v/>
          </cell>
        </row>
        <row r="6186">
          <cell r="S6186" t="str">
            <v/>
          </cell>
        </row>
        <row r="6187">
          <cell r="S6187" t="str">
            <v/>
          </cell>
        </row>
        <row r="6188">
          <cell r="S6188" t="str">
            <v/>
          </cell>
        </row>
        <row r="6189">
          <cell r="S6189" t="str">
            <v/>
          </cell>
        </row>
        <row r="6190">
          <cell r="S6190" t="str">
            <v/>
          </cell>
        </row>
        <row r="6191">
          <cell r="S6191" t="str">
            <v/>
          </cell>
        </row>
        <row r="6192">
          <cell r="S6192" t="str">
            <v/>
          </cell>
        </row>
        <row r="6193">
          <cell r="S6193" t="str">
            <v/>
          </cell>
        </row>
        <row r="6194">
          <cell r="S6194" t="str">
            <v/>
          </cell>
        </row>
        <row r="6195">
          <cell r="S6195" t="str">
            <v/>
          </cell>
        </row>
        <row r="6196">
          <cell r="S6196" t="str">
            <v/>
          </cell>
        </row>
        <row r="6197">
          <cell r="S6197" t="str">
            <v/>
          </cell>
        </row>
        <row r="6198">
          <cell r="S6198" t="str">
            <v/>
          </cell>
        </row>
        <row r="6199">
          <cell r="S6199" t="str">
            <v/>
          </cell>
        </row>
        <row r="6200">
          <cell r="S6200" t="str">
            <v/>
          </cell>
        </row>
        <row r="6201">
          <cell r="S6201" t="str">
            <v/>
          </cell>
        </row>
        <row r="6202">
          <cell r="S6202" t="str">
            <v/>
          </cell>
        </row>
        <row r="6203">
          <cell r="S6203" t="str">
            <v/>
          </cell>
        </row>
        <row r="6204">
          <cell r="S6204" t="str">
            <v/>
          </cell>
        </row>
        <row r="6205">
          <cell r="S6205" t="str">
            <v/>
          </cell>
        </row>
        <row r="6206">
          <cell r="S6206" t="str">
            <v/>
          </cell>
        </row>
        <row r="6207">
          <cell r="S6207" t="str">
            <v/>
          </cell>
        </row>
        <row r="6208">
          <cell r="S6208" t="str">
            <v/>
          </cell>
        </row>
        <row r="6209">
          <cell r="S6209" t="str">
            <v/>
          </cell>
        </row>
        <row r="6210">
          <cell r="S6210" t="str">
            <v/>
          </cell>
        </row>
        <row r="6211">
          <cell r="S6211" t="str">
            <v/>
          </cell>
        </row>
        <row r="6212">
          <cell r="S6212" t="str">
            <v/>
          </cell>
        </row>
        <row r="6213">
          <cell r="S6213" t="str">
            <v/>
          </cell>
        </row>
        <row r="6214">
          <cell r="S6214" t="str">
            <v/>
          </cell>
        </row>
        <row r="6215">
          <cell r="S6215" t="str">
            <v/>
          </cell>
        </row>
        <row r="6216">
          <cell r="S6216" t="str">
            <v/>
          </cell>
        </row>
        <row r="6217">
          <cell r="S6217" t="str">
            <v/>
          </cell>
        </row>
        <row r="6218">
          <cell r="S6218" t="str">
            <v/>
          </cell>
        </row>
        <row r="6219">
          <cell r="S6219" t="str">
            <v/>
          </cell>
        </row>
        <row r="6220">
          <cell r="S6220" t="str">
            <v/>
          </cell>
        </row>
        <row r="6221">
          <cell r="S6221" t="str">
            <v/>
          </cell>
        </row>
        <row r="6222">
          <cell r="S6222" t="str">
            <v/>
          </cell>
        </row>
        <row r="6223">
          <cell r="S6223" t="str">
            <v/>
          </cell>
        </row>
        <row r="6224">
          <cell r="S6224" t="str">
            <v/>
          </cell>
        </row>
        <row r="6225">
          <cell r="S6225" t="str">
            <v/>
          </cell>
        </row>
        <row r="6226">
          <cell r="S6226" t="str">
            <v/>
          </cell>
        </row>
        <row r="6227">
          <cell r="S6227" t="str">
            <v/>
          </cell>
        </row>
        <row r="6228">
          <cell r="S6228" t="str">
            <v/>
          </cell>
        </row>
        <row r="6229">
          <cell r="S6229" t="str">
            <v/>
          </cell>
        </row>
        <row r="6230">
          <cell r="S6230" t="str">
            <v/>
          </cell>
        </row>
        <row r="6231">
          <cell r="S6231" t="str">
            <v/>
          </cell>
        </row>
        <row r="6232">
          <cell r="S6232" t="str">
            <v/>
          </cell>
        </row>
        <row r="6233">
          <cell r="S6233" t="str">
            <v/>
          </cell>
        </row>
        <row r="6234">
          <cell r="S6234" t="str">
            <v/>
          </cell>
        </row>
        <row r="6235">
          <cell r="S6235" t="str">
            <v/>
          </cell>
        </row>
        <row r="6236">
          <cell r="S6236" t="str">
            <v/>
          </cell>
        </row>
        <row r="6237">
          <cell r="S6237" t="str">
            <v/>
          </cell>
        </row>
        <row r="6238">
          <cell r="S6238" t="str">
            <v/>
          </cell>
        </row>
        <row r="6239">
          <cell r="S6239" t="str">
            <v/>
          </cell>
        </row>
        <row r="6240">
          <cell r="S6240" t="str">
            <v/>
          </cell>
        </row>
        <row r="6241">
          <cell r="S6241" t="str">
            <v/>
          </cell>
        </row>
        <row r="6242">
          <cell r="S6242" t="str">
            <v/>
          </cell>
        </row>
        <row r="6243">
          <cell r="S6243" t="str">
            <v/>
          </cell>
        </row>
        <row r="6244">
          <cell r="S6244" t="str">
            <v/>
          </cell>
        </row>
        <row r="6245">
          <cell r="S6245" t="str">
            <v/>
          </cell>
        </row>
        <row r="6246">
          <cell r="S6246" t="str">
            <v/>
          </cell>
        </row>
        <row r="6247">
          <cell r="S6247" t="str">
            <v/>
          </cell>
        </row>
        <row r="6248">
          <cell r="S6248" t="str">
            <v/>
          </cell>
        </row>
        <row r="6249">
          <cell r="S6249" t="str">
            <v/>
          </cell>
        </row>
        <row r="6250">
          <cell r="S6250" t="str">
            <v/>
          </cell>
        </row>
        <row r="6251">
          <cell r="S6251" t="str">
            <v/>
          </cell>
        </row>
        <row r="6252">
          <cell r="S6252" t="str">
            <v/>
          </cell>
        </row>
        <row r="6253">
          <cell r="S6253" t="str">
            <v/>
          </cell>
        </row>
        <row r="6254">
          <cell r="S6254" t="str">
            <v/>
          </cell>
        </row>
        <row r="6255">
          <cell r="S6255" t="str">
            <v/>
          </cell>
        </row>
        <row r="6256">
          <cell r="S6256" t="str">
            <v/>
          </cell>
        </row>
        <row r="6257">
          <cell r="S6257" t="str">
            <v/>
          </cell>
        </row>
        <row r="6258">
          <cell r="S6258" t="str">
            <v/>
          </cell>
        </row>
        <row r="6259">
          <cell r="S6259" t="str">
            <v/>
          </cell>
        </row>
        <row r="6260">
          <cell r="S6260" t="str">
            <v/>
          </cell>
        </row>
        <row r="6261">
          <cell r="S6261" t="str">
            <v/>
          </cell>
        </row>
        <row r="6262">
          <cell r="S6262" t="str">
            <v/>
          </cell>
        </row>
        <row r="6263">
          <cell r="S6263" t="str">
            <v/>
          </cell>
        </row>
        <row r="6264">
          <cell r="S6264" t="str">
            <v/>
          </cell>
        </row>
        <row r="6265">
          <cell r="S6265" t="str">
            <v/>
          </cell>
        </row>
        <row r="6266">
          <cell r="S6266" t="str">
            <v/>
          </cell>
        </row>
        <row r="6267">
          <cell r="S6267" t="str">
            <v/>
          </cell>
        </row>
        <row r="6268">
          <cell r="S6268" t="str">
            <v/>
          </cell>
        </row>
        <row r="6269">
          <cell r="S6269" t="str">
            <v/>
          </cell>
        </row>
        <row r="6270">
          <cell r="S6270" t="str">
            <v/>
          </cell>
        </row>
        <row r="6271">
          <cell r="S6271" t="str">
            <v/>
          </cell>
        </row>
        <row r="6272">
          <cell r="S6272" t="str">
            <v/>
          </cell>
        </row>
        <row r="6273">
          <cell r="S6273" t="str">
            <v/>
          </cell>
        </row>
        <row r="6274">
          <cell r="S6274" t="str">
            <v/>
          </cell>
        </row>
        <row r="6275">
          <cell r="S6275" t="str">
            <v/>
          </cell>
        </row>
        <row r="6276">
          <cell r="S6276" t="str">
            <v/>
          </cell>
        </row>
        <row r="6277">
          <cell r="S6277" t="str">
            <v/>
          </cell>
        </row>
        <row r="6278">
          <cell r="S6278" t="str">
            <v/>
          </cell>
        </row>
        <row r="6279">
          <cell r="S6279" t="str">
            <v/>
          </cell>
        </row>
        <row r="6280">
          <cell r="S6280" t="str">
            <v/>
          </cell>
        </row>
        <row r="6281">
          <cell r="S6281" t="str">
            <v/>
          </cell>
        </row>
        <row r="6282">
          <cell r="S6282" t="str">
            <v/>
          </cell>
        </row>
        <row r="6283">
          <cell r="S6283" t="str">
            <v/>
          </cell>
        </row>
        <row r="6284">
          <cell r="S6284" t="str">
            <v/>
          </cell>
        </row>
        <row r="6285">
          <cell r="S6285" t="str">
            <v/>
          </cell>
        </row>
        <row r="6286">
          <cell r="S6286" t="str">
            <v/>
          </cell>
        </row>
        <row r="6287">
          <cell r="S6287" t="str">
            <v/>
          </cell>
        </row>
        <row r="6288">
          <cell r="S6288" t="str">
            <v/>
          </cell>
        </row>
        <row r="6289">
          <cell r="S6289" t="str">
            <v/>
          </cell>
        </row>
        <row r="6290">
          <cell r="S6290" t="str">
            <v/>
          </cell>
        </row>
        <row r="6291">
          <cell r="S6291" t="str">
            <v/>
          </cell>
        </row>
        <row r="6292">
          <cell r="S6292" t="str">
            <v/>
          </cell>
        </row>
        <row r="6293">
          <cell r="S6293" t="str">
            <v/>
          </cell>
        </row>
        <row r="6294">
          <cell r="S6294" t="str">
            <v/>
          </cell>
        </row>
        <row r="6295">
          <cell r="S6295" t="str">
            <v/>
          </cell>
        </row>
        <row r="6296">
          <cell r="S6296" t="str">
            <v/>
          </cell>
        </row>
        <row r="6297">
          <cell r="S6297" t="str">
            <v/>
          </cell>
        </row>
        <row r="6298">
          <cell r="S6298" t="str">
            <v/>
          </cell>
        </row>
        <row r="6299">
          <cell r="S6299" t="str">
            <v/>
          </cell>
        </row>
        <row r="6300">
          <cell r="S6300" t="str">
            <v/>
          </cell>
        </row>
        <row r="6301">
          <cell r="S6301" t="str">
            <v/>
          </cell>
        </row>
        <row r="6302">
          <cell r="S6302" t="str">
            <v/>
          </cell>
        </row>
        <row r="6303">
          <cell r="S6303" t="str">
            <v/>
          </cell>
        </row>
        <row r="6304">
          <cell r="S6304" t="str">
            <v/>
          </cell>
        </row>
        <row r="6305">
          <cell r="S6305" t="str">
            <v/>
          </cell>
        </row>
        <row r="6306">
          <cell r="S6306" t="str">
            <v/>
          </cell>
        </row>
        <row r="6307">
          <cell r="S6307" t="str">
            <v/>
          </cell>
        </row>
        <row r="6308">
          <cell r="S6308" t="str">
            <v/>
          </cell>
        </row>
        <row r="6309">
          <cell r="S6309" t="str">
            <v/>
          </cell>
        </row>
        <row r="6310">
          <cell r="S6310" t="str">
            <v/>
          </cell>
        </row>
        <row r="6311">
          <cell r="S6311" t="str">
            <v/>
          </cell>
        </row>
        <row r="6312">
          <cell r="S6312" t="str">
            <v/>
          </cell>
        </row>
        <row r="6313">
          <cell r="S6313" t="str">
            <v/>
          </cell>
        </row>
        <row r="6314">
          <cell r="S6314" t="str">
            <v/>
          </cell>
        </row>
        <row r="6315">
          <cell r="S6315" t="str">
            <v/>
          </cell>
        </row>
        <row r="6316">
          <cell r="S6316" t="str">
            <v/>
          </cell>
        </row>
        <row r="6317">
          <cell r="S6317" t="str">
            <v/>
          </cell>
        </row>
        <row r="6318">
          <cell r="S6318" t="str">
            <v/>
          </cell>
        </row>
        <row r="6319">
          <cell r="S6319" t="str">
            <v/>
          </cell>
        </row>
        <row r="6320">
          <cell r="S6320" t="str">
            <v/>
          </cell>
        </row>
        <row r="6321">
          <cell r="S6321" t="str">
            <v/>
          </cell>
        </row>
        <row r="6322">
          <cell r="S6322" t="str">
            <v/>
          </cell>
        </row>
        <row r="6323">
          <cell r="S6323" t="str">
            <v/>
          </cell>
        </row>
        <row r="6324">
          <cell r="S6324" t="str">
            <v/>
          </cell>
        </row>
        <row r="6325">
          <cell r="S6325" t="str">
            <v/>
          </cell>
        </row>
        <row r="6326">
          <cell r="S6326" t="str">
            <v/>
          </cell>
        </row>
        <row r="6327">
          <cell r="S6327" t="str">
            <v/>
          </cell>
        </row>
        <row r="6328">
          <cell r="S6328" t="str">
            <v/>
          </cell>
        </row>
        <row r="6329">
          <cell r="S6329" t="str">
            <v/>
          </cell>
        </row>
        <row r="6330">
          <cell r="S6330" t="str">
            <v/>
          </cell>
        </row>
        <row r="6331">
          <cell r="S6331" t="str">
            <v/>
          </cell>
        </row>
        <row r="6332">
          <cell r="S6332" t="str">
            <v/>
          </cell>
        </row>
        <row r="6333">
          <cell r="S6333" t="str">
            <v/>
          </cell>
        </row>
        <row r="6334">
          <cell r="S6334" t="str">
            <v/>
          </cell>
        </row>
        <row r="6335">
          <cell r="S6335" t="str">
            <v/>
          </cell>
        </row>
        <row r="6336">
          <cell r="S6336" t="str">
            <v/>
          </cell>
        </row>
        <row r="6337">
          <cell r="S6337" t="str">
            <v/>
          </cell>
        </row>
        <row r="6338">
          <cell r="S6338" t="str">
            <v/>
          </cell>
        </row>
        <row r="6339">
          <cell r="S6339" t="str">
            <v/>
          </cell>
        </row>
        <row r="6340">
          <cell r="S6340" t="str">
            <v/>
          </cell>
        </row>
        <row r="6341">
          <cell r="S6341" t="str">
            <v/>
          </cell>
        </row>
        <row r="6342">
          <cell r="S6342" t="str">
            <v/>
          </cell>
        </row>
        <row r="6343">
          <cell r="S6343" t="str">
            <v/>
          </cell>
        </row>
        <row r="6344">
          <cell r="S6344" t="str">
            <v/>
          </cell>
        </row>
        <row r="6345">
          <cell r="S6345" t="str">
            <v/>
          </cell>
        </row>
        <row r="6346">
          <cell r="S6346" t="str">
            <v/>
          </cell>
        </row>
        <row r="6347">
          <cell r="S6347" t="str">
            <v/>
          </cell>
        </row>
        <row r="6348">
          <cell r="S6348" t="str">
            <v/>
          </cell>
        </row>
        <row r="6349">
          <cell r="S6349" t="str">
            <v/>
          </cell>
        </row>
        <row r="6350">
          <cell r="S6350" t="str">
            <v/>
          </cell>
        </row>
        <row r="6351">
          <cell r="S6351" t="str">
            <v/>
          </cell>
        </row>
        <row r="6352">
          <cell r="S6352" t="str">
            <v/>
          </cell>
        </row>
        <row r="6353">
          <cell r="S6353" t="str">
            <v/>
          </cell>
        </row>
        <row r="6354">
          <cell r="S6354" t="str">
            <v/>
          </cell>
        </row>
        <row r="6355">
          <cell r="S6355" t="str">
            <v/>
          </cell>
        </row>
        <row r="6356">
          <cell r="S6356" t="str">
            <v/>
          </cell>
        </row>
        <row r="6357">
          <cell r="S6357" t="str">
            <v/>
          </cell>
        </row>
        <row r="6358">
          <cell r="S6358" t="str">
            <v/>
          </cell>
        </row>
        <row r="6359">
          <cell r="S6359" t="str">
            <v/>
          </cell>
        </row>
        <row r="6360">
          <cell r="S6360" t="str">
            <v/>
          </cell>
        </row>
        <row r="6361">
          <cell r="S6361" t="str">
            <v/>
          </cell>
        </row>
        <row r="6362">
          <cell r="S6362" t="str">
            <v/>
          </cell>
        </row>
        <row r="6363">
          <cell r="S6363" t="str">
            <v/>
          </cell>
        </row>
        <row r="6364">
          <cell r="S6364" t="str">
            <v/>
          </cell>
        </row>
        <row r="6365">
          <cell r="S6365" t="str">
            <v/>
          </cell>
        </row>
        <row r="6366">
          <cell r="S6366" t="str">
            <v/>
          </cell>
        </row>
        <row r="6367">
          <cell r="S6367" t="str">
            <v/>
          </cell>
        </row>
        <row r="6368">
          <cell r="S6368" t="str">
            <v/>
          </cell>
        </row>
        <row r="6369">
          <cell r="S6369" t="str">
            <v/>
          </cell>
        </row>
        <row r="6370">
          <cell r="S6370" t="str">
            <v/>
          </cell>
        </row>
        <row r="6371">
          <cell r="S6371" t="str">
            <v/>
          </cell>
        </row>
        <row r="6372">
          <cell r="S6372" t="str">
            <v/>
          </cell>
        </row>
        <row r="6373">
          <cell r="S6373" t="str">
            <v/>
          </cell>
        </row>
        <row r="6374">
          <cell r="S6374" t="str">
            <v/>
          </cell>
        </row>
        <row r="6375">
          <cell r="S6375" t="str">
            <v/>
          </cell>
        </row>
        <row r="6376">
          <cell r="S6376" t="str">
            <v/>
          </cell>
        </row>
        <row r="6377">
          <cell r="S6377" t="str">
            <v/>
          </cell>
        </row>
        <row r="6378">
          <cell r="S6378" t="str">
            <v/>
          </cell>
        </row>
        <row r="6379">
          <cell r="S6379" t="str">
            <v/>
          </cell>
        </row>
        <row r="6380">
          <cell r="S6380" t="str">
            <v/>
          </cell>
        </row>
        <row r="6381">
          <cell r="S6381" t="str">
            <v/>
          </cell>
        </row>
        <row r="6382">
          <cell r="S6382" t="str">
            <v/>
          </cell>
        </row>
        <row r="6383">
          <cell r="S6383" t="str">
            <v/>
          </cell>
        </row>
        <row r="6384">
          <cell r="S6384" t="str">
            <v/>
          </cell>
        </row>
        <row r="6385">
          <cell r="S6385" t="str">
            <v/>
          </cell>
        </row>
        <row r="6386">
          <cell r="S6386" t="str">
            <v/>
          </cell>
        </row>
        <row r="6387">
          <cell r="S6387" t="str">
            <v/>
          </cell>
        </row>
        <row r="6388">
          <cell r="S6388" t="str">
            <v/>
          </cell>
        </row>
        <row r="6389">
          <cell r="S6389" t="str">
            <v/>
          </cell>
        </row>
        <row r="6390">
          <cell r="S6390" t="str">
            <v/>
          </cell>
        </row>
        <row r="6391">
          <cell r="S6391" t="str">
            <v/>
          </cell>
        </row>
        <row r="6392">
          <cell r="S6392" t="str">
            <v/>
          </cell>
        </row>
        <row r="6393">
          <cell r="S6393" t="str">
            <v/>
          </cell>
        </row>
        <row r="6394">
          <cell r="S6394" t="str">
            <v/>
          </cell>
        </row>
        <row r="6395">
          <cell r="S6395" t="str">
            <v/>
          </cell>
        </row>
        <row r="6396">
          <cell r="S6396" t="str">
            <v/>
          </cell>
        </row>
        <row r="6397">
          <cell r="S6397" t="str">
            <v/>
          </cell>
        </row>
        <row r="6398">
          <cell r="S6398" t="str">
            <v/>
          </cell>
        </row>
        <row r="6399">
          <cell r="S6399" t="str">
            <v/>
          </cell>
        </row>
        <row r="6400">
          <cell r="S6400" t="str">
            <v/>
          </cell>
        </row>
        <row r="6401">
          <cell r="S6401" t="str">
            <v/>
          </cell>
        </row>
        <row r="6402">
          <cell r="S6402" t="str">
            <v/>
          </cell>
        </row>
        <row r="6403">
          <cell r="S6403" t="str">
            <v/>
          </cell>
        </row>
        <row r="6404">
          <cell r="S6404" t="str">
            <v/>
          </cell>
        </row>
        <row r="6405">
          <cell r="S6405" t="str">
            <v/>
          </cell>
        </row>
        <row r="6406">
          <cell r="S6406" t="str">
            <v/>
          </cell>
        </row>
        <row r="6407">
          <cell r="S6407" t="str">
            <v/>
          </cell>
        </row>
        <row r="6408">
          <cell r="S6408" t="str">
            <v/>
          </cell>
        </row>
        <row r="6409">
          <cell r="S6409" t="str">
            <v/>
          </cell>
        </row>
        <row r="6410">
          <cell r="S6410" t="str">
            <v/>
          </cell>
        </row>
        <row r="6411">
          <cell r="S6411" t="str">
            <v/>
          </cell>
        </row>
        <row r="6412">
          <cell r="S6412" t="str">
            <v/>
          </cell>
        </row>
        <row r="6413">
          <cell r="S6413" t="str">
            <v/>
          </cell>
        </row>
        <row r="6414">
          <cell r="S6414" t="str">
            <v/>
          </cell>
        </row>
        <row r="6415">
          <cell r="S6415" t="str">
            <v/>
          </cell>
        </row>
        <row r="6416">
          <cell r="S6416" t="str">
            <v/>
          </cell>
        </row>
        <row r="6417">
          <cell r="S6417" t="str">
            <v/>
          </cell>
        </row>
        <row r="6418">
          <cell r="S6418" t="str">
            <v/>
          </cell>
        </row>
        <row r="6419">
          <cell r="S6419" t="str">
            <v/>
          </cell>
        </row>
        <row r="6420">
          <cell r="S6420" t="str">
            <v/>
          </cell>
        </row>
        <row r="6421">
          <cell r="S6421" t="str">
            <v/>
          </cell>
        </row>
        <row r="6422">
          <cell r="S6422" t="str">
            <v/>
          </cell>
        </row>
        <row r="6423">
          <cell r="S6423" t="str">
            <v/>
          </cell>
        </row>
        <row r="6424">
          <cell r="S6424" t="str">
            <v/>
          </cell>
        </row>
        <row r="6425">
          <cell r="S6425" t="str">
            <v/>
          </cell>
        </row>
        <row r="6426">
          <cell r="S6426" t="str">
            <v/>
          </cell>
        </row>
        <row r="6427">
          <cell r="S6427" t="str">
            <v/>
          </cell>
        </row>
        <row r="6428">
          <cell r="S6428" t="str">
            <v/>
          </cell>
        </row>
        <row r="6429">
          <cell r="S6429" t="str">
            <v/>
          </cell>
        </row>
        <row r="6430">
          <cell r="S6430" t="str">
            <v/>
          </cell>
        </row>
        <row r="6431">
          <cell r="S6431" t="str">
            <v/>
          </cell>
        </row>
        <row r="6432">
          <cell r="S6432" t="str">
            <v/>
          </cell>
        </row>
        <row r="6433">
          <cell r="S6433" t="str">
            <v/>
          </cell>
        </row>
        <row r="6434">
          <cell r="S6434" t="str">
            <v/>
          </cell>
        </row>
        <row r="6435">
          <cell r="S6435" t="str">
            <v/>
          </cell>
        </row>
        <row r="6436">
          <cell r="S6436" t="str">
            <v/>
          </cell>
        </row>
        <row r="6437">
          <cell r="S6437" t="str">
            <v/>
          </cell>
        </row>
        <row r="6438">
          <cell r="S6438" t="str">
            <v/>
          </cell>
        </row>
        <row r="6439">
          <cell r="S6439" t="str">
            <v/>
          </cell>
        </row>
        <row r="6440">
          <cell r="S6440" t="str">
            <v/>
          </cell>
        </row>
        <row r="6441">
          <cell r="S6441" t="str">
            <v/>
          </cell>
        </row>
        <row r="6442">
          <cell r="S6442" t="str">
            <v/>
          </cell>
        </row>
        <row r="6443">
          <cell r="S6443" t="str">
            <v/>
          </cell>
        </row>
        <row r="6444">
          <cell r="S6444" t="str">
            <v/>
          </cell>
        </row>
        <row r="6445">
          <cell r="S6445" t="str">
            <v/>
          </cell>
        </row>
        <row r="6446">
          <cell r="S6446" t="str">
            <v/>
          </cell>
        </row>
        <row r="6447">
          <cell r="S6447" t="str">
            <v/>
          </cell>
        </row>
        <row r="6448">
          <cell r="S6448" t="str">
            <v/>
          </cell>
        </row>
        <row r="6449">
          <cell r="S6449" t="str">
            <v/>
          </cell>
        </row>
        <row r="6450">
          <cell r="S6450" t="str">
            <v/>
          </cell>
        </row>
        <row r="6451">
          <cell r="S6451" t="str">
            <v/>
          </cell>
        </row>
        <row r="6452">
          <cell r="S6452" t="str">
            <v/>
          </cell>
        </row>
        <row r="6453">
          <cell r="S6453" t="str">
            <v/>
          </cell>
        </row>
        <row r="6454">
          <cell r="S6454" t="str">
            <v/>
          </cell>
        </row>
        <row r="6455">
          <cell r="S6455" t="str">
            <v/>
          </cell>
        </row>
        <row r="6456">
          <cell r="S6456" t="str">
            <v/>
          </cell>
        </row>
        <row r="6457">
          <cell r="S6457" t="str">
            <v/>
          </cell>
        </row>
        <row r="6458">
          <cell r="S6458" t="str">
            <v/>
          </cell>
        </row>
        <row r="6459">
          <cell r="S6459" t="str">
            <v/>
          </cell>
        </row>
        <row r="6460">
          <cell r="S6460" t="str">
            <v/>
          </cell>
        </row>
        <row r="6461">
          <cell r="S6461" t="str">
            <v/>
          </cell>
        </row>
        <row r="6462">
          <cell r="S6462" t="str">
            <v/>
          </cell>
        </row>
        <row r="6463">
          <cell r="S6463" t="str">
            <v/>
          </cell>
        </row>
        <row r="6464">
          <cell r="S6464" t="str">
            <v/>
          </cell>
        </row>
        <row r="6465">
          <cell r="S6465" t="str">
            <v/>
          </cell>
        </row>
        <row r="6466">
          <cell r="S6466" t="str">
            <v/>
          </cell>
        </row>
        <row r="6467">
          <cell r="S6467" t="str">
            <v/>
          </cell>
        </row>
        <row r="6468">
          <cell r="S6468" t="str">
            <v/>
          </cell>
        </row>
        <row r="6469">
          <cell r="S6469" t="str">
            <v/>
          </cell>
        </row>
        <row r="6470">
          <cell r="S6470" t="str">
            <v/>
          </cell>
        </row>
        <row r="6471">
          <cell r="S6471" t="str">
            <v/>
          </cell>
        </row>
        <row r="6472">
          <cell r="S6472" t="str">
            <v/>
          </cell>
        </row>
        <row r="6473">
          <cell r="S6473" t="str">
            <v/>
          </cell>
        </row>
        <row r="6474">
          <cell r="S6474" t="str">
            <v/>
          </cell>
        </row>
        <row r="6475">
          <cell r="S6475" t="str">
            <v/>
          </cell>
        </row>
        <row r="6476">
          <cell r="S6476" t="str">
            <v/>
          </cell>
        </row>
        <row r="6477">
          <cell r="S6477" t="str">
            <v/>
          </cell>
        </row>
        <row r="6478">
          <cell r="S6478" t="str">
            <v/>
          </cell>
        </row>
        <row r="6479">
          <cell r="S6479" t="str">
            <v/>
          </cell>
        </row>
        <row r="6480">
          <cell r="S6480" t="str">
            <v/>
          </cell>
        </row>
        <row r="6481">
          <cell r="S6481" t="str">
            <v/>
          </cell>
        </row>
        <row r="6482">
          <cell r="S6482" t="str">
            <v/>
          </cell>
        </row>
        <row r="6483">
          <cell r="S6483" t="str">
            <v/>
          </cell>
        </row>
        <row r="6484">
          <cell r="S6484" t="str">
            <v/>
          </cell>
        </row>
        <row r="6485">
          <cell r="S6485" t="str">
            <v/>
          </cell>
        </row>
        <row r="6486">
          <cell r="S6486" t="str">
            <v/>
          </cell>
        </row>
        <row r="6487">
          <cell r="S6487" t="str">
            <v/>
          </cell>
        </row>
        <row r="6488">
          <cell r="S6488" t="str">
            <v/>
          </cell>
        </row>
        <row r="6489">
          <cell r="S6489" t="str">
            <v/>
          </cell>
        </row>
        <row r="6490">
          <cell r="S6490" t="str">
            <v/>
          </cell>
        </row>
        <row r="6491">
          <cell r="S6491" t="str">
            <v/>
          </cell>
        </row>
        <row r="6492">
          <cell r="S6492" t="str">
            <v/>
          </cell>
        </row>
        <row r="6493">
          <cell r="S6493" t="str">
            <v/>
          </cell>
        </row>
        <row r="6494">
          <cell r="S6494" t="str">
            <v/>
          </cell>
        </row>
        <row r="6495">
          <cell r="S6495" t="str">
            <v/>
          </cell>
        </row>
        <row r="6496">
          <cell r="S6496" t="str">
            <v/>
          </cell>
        </row>
        <row r="6497">
          <cell r="S6497" t="str">
            <v/>
          </cell>
        </row>
        <row r="6498">
          <cell r="S6498" t="str">
            <v/>
          </cell>
        </row>
        <row r="6499">
          <cell r="S6499" t="str">
            <v/>
          </cell>
        </row>
        <row r="6500">
          <cell r="S6500" t="str">
            <v/>
          </cell>
        </row>
        <row r="6501">
          <cell r="S6501" t="str">
            <v/>
          </cell>
        </row>
        <row r="6502">
          <cell r="S6502" t="str">
            <v/>
          </cell>
        </row>
        <row r="6503">
          <cell r="S6503" t="str">
            <v/>
          </cell>
        </row>
        <row r="6504">
          <cell r="S6504" t="str">
            <v/>
          </cell>
        </row>
        <row r="6505">
          <cell r="S6505" t="str">
            <v/>
          </cell>
        </row>
        <row r="6506">
          <cell r="S6506" t="str">
            <v/>
          </cell>
        </row>
        <row r="6507">
          <cell r="S6507" t="str">
            <v/>
          </cell>
        </row>
        <row r="6508">
          <cell r="S6508" t="str">
            <v/>
          </cell>
        </row>
        <row r="6509">
          <cell r="S6509" t="str">
            <v/>
          </cell>
        </row>
        <row r="6510">
          <cell r="S6510" t="str">
            <v/>
          </cell>
        </row>
        <row r="6511">
          <cell r="S6511" t="str">
            <v/>
          </cell>
        </row>
        <row r="6512">
          <cell r="S6512" t="str">
            <v/>
          </cell>
        </row>
        <row r="6513">
          <cell r="S6513" t="str">
            <v/>
          </cell>
        </row>
        <row r="6514">
          <cell r="S6514" t="str">
            <v/>
          </cell>
        </row>
        <row r="6515">
          <cell r="S6515" t="str">
            <v/>
          </cell>
        </row>
        <row r="6516">
          <cell r="S6516" t="str">
            <v/>
          </cell>
        </row>
        <row r="6517">
          <cell r="S6517" t="str">
            <v/>
          </cell>
        </row>
        <row r="6518">
          <cell r="S6518" t="str">
            <v/>
          </cell>
        </row>
        <row r="6519">
          <cell r="S6519" t="str">
            <v/>
          </cell>
        </row>
        <row r="6520">
          <cell r="S6520" t="str">
            <v/>
          </cell>
        </row>
        <row r="6521">
          <cell r="S6521" t="str">
            <v/>
          </cell>
        </row>
        <row r="6522">
          <cell r="S6522" t="str">
            <v/>
          </cell>
        </row>
        <row r="6523">
          <cell r="S6523" t="str">
            <v/>
          </cell>
        </row>
        <row r="6524">
          <cell r="S6524" t="str">
            <v/>
          </cell>
        </row>
        <row r="6525">
          <cell r="S6525" t="str">
            <v/>
          </cell>
        </row>
        <row r="6526">
          <cell r="S6526" t="str">
            <v/>
          </cell>
        </row>
        <row r="6527">
          <cell r="S6527" t="str">
            <v/>
          </cell>
        </row>
        <row r="6528">
          <cell r="S6528" t="str">
            <v/>
          </cell>
        </row>
        <row r="6529">
          <cell r="S6529" t="str">
            <v/>
          </cell>
        </row>
        <row r="6530">
          <cell r="S6530" t="str">
            <v/>
          </cell>
        </row>
        <row r="6531">
          <cell r="S6531" t="str">
            <v/>
          </cell>
        </row>
        <row r="6532">
          <cell r="S6532" t="str">
            <v/>
          </cell>
        </row>
        <row r="6533">
          <cell r="S6533" t="str">
            <v/>
          </cell>
        </row>
        <row r="6534">
          <cell r="S6534" t="str">
            <v/>
          </cell>
        </row>
        <row r="6535">
          <cell r="S6535" t="str">
            <v/>
          </cell>
        </row>
        <row r="6536">
          <cell r="S6536" t="str">
            <v/>
          </cell>
        </row>
        <row r="6537">
          <cell r="S6537" t="str">
            <v/>
          </cell>
        </row>
        <row r="6538">
          <cell r="S6538" t="str">
            <v/>
          </cell>
        </row>
        <row r="6539">
          <cell r="S6539" t="str">
            <v/>
          </cell>
        </row>
        <row r="6540">
          <cell r="S6540" t="str">
            <v/>
          </cell>
        </row>
        <row r="6541">
          <cell r="S6541" t="str">
            <v/>
          </cell>
        </row>
        <row r="6542">
          <cell r="S6542" t="str">
            <v/>
          </cell>
        </row>
        <row r="6543">
          <cell r="S6543" t="str">
            <v/>
          </cell>
        </row>
        <row r="6544">
          <cell r="S6544" t="str">
            <v/>
          </cell>
        </row>
        <row r="6545">
          <cell r="S6545" t="str">
            <v/>
          </cell>
        </row>
        <row r="6546">
          <cell r="S6546" t="str">
            <v/>
          </cell>
        </row>
        <row r="6547">
          <cell r="S6547" t="str">
            <v/>
          </cell>
        </row>
        <row r="6548">
          <cell r="S6548" t="str">
            <v/>
          </cell>
        </row>
        <row r="6549">
          <cell r="S6549" t="str">
            <v/>
          </cell>
        </row>
        <row r="6550">
          <cell r="S6550" t="str">
            <v/>
          </cell>
        </row>
        <row r="6551">
          <cell r="S6551" t="str">
            <v/>
          </cell>
        </row>
        <row r="6552">
          <cell r="S6552" t="str">
            <v/>
          </cell>
        </row>
        <row r="6553">
          <cell r="S6553" t="str">
            <v/>
          </cell>
        </row>
        <row r="6554">
          <cell r="S6554" t="str">
            <v/>
          </cell>
        </row>
        <row r="6555">
          <cell r="S6555" t="str">
            <v/>
          </cell>
        </row>
        <row r="6556">
          <cell r="S6556" t="str">
            <v/>
          </cell>
        </row>
        <row r="6557">
          <cell r="S6557" t="str">
            <v/>
          </cell>
        </row>
        <row r="6558">
          <cell r="S6558" t="str">
            <v/>
          </cell>
        </row>
        <row r="6559">
          <cell r="S6559" t="str">
            <v/>
          </cell>
        </row>
        <row r="6560">
          <cell r="S6560" t="str">
            <v/>
          </cell>
        </row>
        <row r="6561">
          <cell r="S6561" t="str">
            <v/>
          </cell>
        </row>
        <row r="6562">
          <cell r="S6562" t="str">
            <v/>
          </cell>
        </row>
        <row r="6563">
          <cell r="S6563" t="str">
            <v/>
          </cell>
        </row>
        <row r="6564">
          <cell r="S6564" t="str">
            <v/>
          </cell>
        </row>
        <row r="6565">
          <cell r="S6565" t="str">
            <v/>
          </cell>
        </row>
        <row r="6566">
          <cell r="S6566" t="str">
            <v/>
          </cell>
        </row>
        <row r="6567">
          <cell r="S6567" t="str">
            <v/>
          </cell>
        </row>
        <row r="6568">
          <cell r="S6568" t="str">
            <v/>
          </cell>
        </row>
        <row r="6569">
          <cell r="S6569" t="str">
            <v/>
          </cell>
        </row>
        <row r="6570">
          <cell r="S6570" t="str">
            <v/>
          </cell>
        </row>
        <row r="6571">
          <cell r="S6571" t="str">
            <v/>
          </cell>
        </row>
        <row r="6572">
          <cell r="S6572" t="str">
            <v/>
          </cell>
        </row>
        <row r="6573">
          <cell r="S6573" t="str">
            <v/>
          </cell>
        </row>
        <row r="6574">
          <cell r="S6574" t="str">
            <v/>
          </cell>
        </row>
        <row r="6575">
          <cell r="S6575" t="str">
            <v/>
          </cell>
        </row>
        <row r="6576">
          <cell r="S6576" t="str">
            <v/>
          </cell>
        </row>
        <row r="6577">
          <cell r="S6577" t="str">
            <v/>
          </cell>
        </row>
        <row r="6578">
          <cell r="S6578" t="str">
            <v/>
          </cell>
        </row>
        <row r="6579">
          <cell r="S6579" t="str">
            <v/>
          </cell>
        </row>
        <row r="6580">
          <cell r="S6580" t="str">
            <v/>
          </cell>
        </row>
        <row r="6581">
          <cell r="S6581" t="str">
            <v/>
          </cell>
        </row>
        <row r="6582">
          <cell r="S6582" t="str">
            <v/>
          </cell>
        </row>
        <row r="6583">
          <cell r="S6583" t="str">
            <v/>
          </cell>
        </row>
        <row r="6584">
          <cell r="S6584" t="str">
            <v/>
          </cell>
        </row>
        <row r="6585">
          <cell r="S6585" t="str">
            <v/>
          </cell>
        </row>
        <row r="6586">
          <cell r="S6586" t="str">
            <v/>
          </cell>
        </row>
        <row r="6587">
          <cell r="S6587" t="str">
            <v/>
          </cell>
        </row>
        <row r="6588">
          <cell r="S6588" t="str">
            <v/>
          </cell>
        </row>
        <row r="6589">
          <cell r="S6589" t="str">
            <v/>
          </cell>
        </row>
        <row r="6590">
          <cell r="S6590" t="str">
            <v/>
          </cell>
        </row>
        <row r="6591">
          <cell r="S6591" t="str">
            <v/>
          </cell>
        </row>
        <row r="6592">
          <cell r="S6592" t="str">
            <v/>
          </cell>
        </row>
        <row r="6593">
          <cell r="S6593" t="str">
            <v/>
          </cell>
        </row>
        <row r="6594">
          <cell r="S6594" t="str">
            <v/>
          </cell>
        </row>
        <row r="6595">
          <cell r="S6595" t="str">
            <v/>
          </cell>
        </row>
        <row r="6596">
          <cell r="S6596" t="str">
            <v/>
          </cell>
        </row>
        <row r="6597">
          <cell r="S6597" t="str">
            <v/>
          </cell>
        </row>
        <row r="6598">
          <cell r="S6598" t="str">
            <v/>
          </cell>
        </row>
        <row r="6599">
          <cell r="S6599" t="str">
            <v/>
          </cell>
        </row>
        <row r="6600">
          <cell r="S6600" t="str">
            <v/>
          </cell>
        </row>
        <row r="6601">
          <cell r="S6601" t="str">
            <v/>
          </cell>
        </row>
        <row r="6602">
          <cell r="S6602" t="str">
            <v/>
          </cell>
        </row>
        <row r="6603">
          <cell r="S6603" t="str">
            <v/>
          </cell>
        </row>
        <row r="6604">
          <cell r="S6604" t="str">
            <v/>
          </cell>
        </row>
        <row r="6605">
          <cell r="S6605" t="str">
            <v/>
          </cell>
        </row>
        <row r="6606">
          <cell r="S6606" t="str">
            <v/>
          </cell>
        </row>
        <row r="6607">
          <cell r="S6607" t="str">
            <v/>
          </cell>
        </row>
        <row r="6608">
          <cell r="S6608" t="str">
            <v/>
          </cell>
        </row>
        <row r="6609">
          <cell r="S6609" t="str">
            <v/>
          </cell>
        </row>
        <row r="6610">
          <cell r="S6610" t="str">
            <v/>
          </cell>
        </row>
        <row r="6611">
          <cell r="S6611" t="str">
            <v/>
          </cell>
        </row>
        <row r="6612">
          <cell r="S6612" t="str">
            <v/>
          </cell>
        </row>
        <row r="6613">
          <cell r="S6613" t="str">
            <v/>
          </cell>
        </row>
        <row r="6614">
          <cell r="S6614" t="str">
            <v/>
          </cell>
        </row>
        <row r="6615">
          <cell r="S6615" t="str">
            <v/>
          </cell>
        </row>
        <row r="6616">
          <cell r="S6616" t="str">
            <v/>
          </cell>
        </row>
        <row r="6617">
          <cell r="S6617" t="str">
            <v/>
          </cell>
        </row>
        <row r="6618">
          <cell r="S6618" t="str">
            <v/>
          </cell>
        </row>
        <row r="6619">
          <cell r="S6619" t="str">
            <v/>
          </cell>
        </row>
        <row r="6620">
          <cell r="S6620" t="str">
            <v/>
          </cell>
        </row>
        <row r="6621">
          <cell r="S6621" t="str">
            <v/>
          </cell>
        </row>
        <row r="6622">
          <cell r="S6622" t="str">
            <v/>
          </cell>
        </row>
        <row r="6623">
          <cell r="S6623" t="str">
            <v/>
          </cell>
        </row>
        <row r="6624">
          <cell r="S6624" t="str">
            <v/>
          </cell>
        </row>
        <row r="6625">
          <cell r="S6625" t="str">
            <v/>
          </cell>
        </row>
        <row r="6626">
          <cell r="S6626" t="str">
            <v/>
          </cell>
        </row>
        <row r="6627">
          <cell r="S6627" t="str">
            <v/>
          </cell>
        </row>
        <row r="6628">
          <cell r="S6628" t="str">
            <v/>
          </cell>
        </row>
        <row r="6629">
          <cell r="S6629" t="str">
            <v/>
          </cell>
        </row>
        <row r="6630">
          <cell r="S6630" t="str">
            <v/>
          </cell>
        </row>
        <row r="6631">
          <cell r="S6631" t="str">
            <v/>
          </cell>
        </row>
        <row r="6632">
          <cell r="S6632" t="str">
            <v/>
          </cell>
        </row>
        <row r="6633">
          <cell r="S6633" t="str">
            <v/>
          </cell>
        </row>
        <row r="6634">
          <cell r="S6634" t="str">
            <v/>
          </cell>
        </row>
        <row r="6635">
          <cell r="S6635" t="str">
            <v/>
          </cell>
        </row>
        <row r="6636">
          <cell r="S6636" t="str">
            <v/>
          </cell>
        </row>
        <row r="6637">
          <cell r="S6637" t="str">
            <v/>
          </cell>
        </row>
        <row r="6638">
          <cell r="S6638" t="str">
            <v/>
          </cell>
        </row>
        <row r="6639">
          <cell r="S6639" t="str">
            <v/>
          </cell>
        </row>
        <row r="6640">
          <cell r="S6640" t="str">
            <v/>
          </cell>
        </row>
        <row r="6641">
          <cell r="S6641" t="str">
            <v/>
          </cell>
        </row>
        <row r="6642">
          <cell r="S6642" t="str">
            <v/>
          </cell>
        </row>
        <row r="6643">
          <cell r="S6643" t="str">
            <v/>
          </cell>
        </row>
        <row r="6644">
          <cell r="S6644" t="str">
            <v/>
          </cell>
        </row>
        <row r="6645">
          <cell r="S6645" t="str">
            <v/>
          </cell>
        </row>
        <row r="6646">
          <cell r="S6646" t="str">
            <v/>
          </cell>
        </row>
        <row r="6647">
          <cell r="S6647" t="str">
            <v/>
          </cell>
        </row>
        <row r="6648">
          <cell r="S6648" t="str">
            <v/>
          </cell>
        </row>
        <row r="6649">
          <cell r="S6649" t="str">
            <v/>
          </cell>
        </row>
        <row r="6650">
          <cell r="S6650" t="str">
            <v/>
          </cell>
        </row>
        <row r="6651">
          <cell r="S6651" t="str">
            <v/>
          </cell>
        </row>
        <row r="6652">
          <cell r="S6652" t="str">
            <v/>
          </cell>
        </row>
        <row r="6653">
          <cell r="S6653" t="str">
            <v/>
          </cell>
        </row>
        <row r="6654">
          <cell r="S6654" t="str">
            <v/>
          </cell>
        </row>
        <row r="6655">
          <cell r="S6655" t="str">
            <v/>
          </cell>
        </row>
        <row r="6656">
          <cell r="S6656" t="str">
            <v/>
          </cell>
        </row>
        <row r="6657">
          <cell r="S6657" t="str">
            <v/>
          </cell>
        </row>
        <row r="6658">
          <cell r="S6658" t="str">
            <v/>
          </cell>
        </row>
        <row r="6659">
          <cell r="S6659" t="str">
            <v/>
          </cell>
        </row>
        <row r="6660">
          <cell r="S6660" t="str">
            <v/>
          </cell>
        </row>
        <row r="6661">
          <cell r="S6661" t="str">
            <v/>
          </cell>
        </row>
        <row r="6662">
          <cell r="S6662" t="str">
            <v/>
          </cell>
        </row>
        <row r="6663">
          <cell r="S6663" t="str">
            <v/>
          </cell>
        </row>
        <row r="6664">
          <cell r="S6664" t="str">
            <v/>
          </cell>
        </row>
        <row r="6665">
          <cell r="S6665" t="str">
            <v/>
          </cell>
        </row>
        <row r="6666">
          <cell r="S6666" t="str">
            <v/>
          </cell>
        </row>
        <row r="6667">
          <cell r="S6667" t="str">
            <v/>
          </cell>
        </row>
        <row r="6668">
          <cell r="S6668" t="str">
            <v/>
          </cell>
        </row>
        <row r="6669">
          <cell r="S6669" t="str">
            <v/>
          </cell>
        </row>
        <row r="6670">
          <cell r="S6670" t="str">
            <v/>
          </cell>
        </row>
        <row r="6671">
          <cell r="S6671" t="str">
            <v/>
          </cell>
        </row>
        <row r="6672">
          <cell r="S6672" t="str">
            <v/>
          </cell>
        </row>
        <row r="6673">
          <cell r="S6673" t="str">
            <v/>
          </cell>
        </row>
        <row r="6674">
          <cell r="S6674" t="str">
            <v/>
          </cell>
        </row>
        <row r="6675">
          <cell r="S6675" t="str">
            <v/>
          </cell>
        </row>
        <row r="6676">
          <cell r="S6676" t="str">
            <v/>
          </cell>
        </row>
        <row r="6677">
          <cell r="S6677" t="str">
            <v/>
          </cell>
        </row>
        <row r="6678">
          <cell r="S6678" t="str">
            <v/>
          </cell>
        </row>
        <row r="6679">
          <cell r="S6679" t="str">
            <v/>
          </cell>
        </row>
        <row r="6680">
          <cell r="S6680" t="str">
            <v/>
          </cell>
        </row>
        <row r="6681">
          <cell r="S6681" t="str">
            <v/>
          </cell>
        </row>
        <row r="6682">
          <cell r="S6682" t="str">
            <v/>
          </cell>
        </row>
        <row r="6683">
          <cell r="S6683" t="str">
            <v/>
          </cell>
        </row>
        <row r="6684">
          <cell r="S6684" t="str">
            <v/>
          </cell>
        </row>
        <row r="6685">
          <cell r="S6685" t="str">
            <v/>
          </cell>
        </row>
        <row r="6686">
          <cell r="S6686" t="str">
            <v/>
          </cell>
        </row>
        <row r="6687">
          <cell r="S6687" t="str">
            <v/>
          </cell>
        </row>
        <row r="6688">
          <cell r="S6688" t="str">
            <v/>
          </cell>
        </row>
        <row r="6689">
          <cell r="S6689" t="str">
            <v/>
          </cell>
        </row>
        <row r="6690">
          <cell r="S6690" t="str">
            <v/>
          </cell>
        </row>
        <row r="6691">
          <cell r="S6691" t="str">
            <v/>
          </cell>
        </row>
        <row r="6692">
          <cell r="S6692" t="str">
            <v/>
          </cell>
        </row>
        <row r="6693">
          <cell r="S6693" t="str">
            <v/>
          </cell>
        </row>
        <row r="6694">
          <cell r="S6694" t="str">
            <v/>
          </cell>
        </row>
        <row r="6695">
          <cell r="S6695" t="str">
            <v/>
          </cell>
        </row>
        <row r="6696">
          <cell r="S6696" t="str">
            <v/>
          </cell>
        </row>
        <row r="6697">
          <cell r="S6697" t="str">
            <v/>
          </cell>
        </row>
        <row r="6698">
          <cell r="S6698" t="str">
            <v/>
          </cell>
        </row>
        <row r="6699">
          <cell r="S6699" t="str">
            <v/>
          </cell>
        </row>
        <row r="6700">
          <cell r="S6700" t="str">
            <v/>
          </cell>
        </row>
        <row r="6701">
          <cell r="S6701" t="str">
            <v/>
          </cell>
        </row>
        <row r="6702">
          <cell r="S6702" t="str">
            <v/>
          </cell>
        </row>
        <row r="6703">
          <cell r="S6703" t="str">
            <v/>
          </cell>
        </row>
        <row r="6704">
          <cell r="S6704" t="str">
            <v/>
          </cell>
        </row>
        <row r="6705">
          <cell r="S6705" t="str">
            <v/>
          </cell>
        </row>
        <row r="6706">
          <cell r="S6706" t="str">
            <v/>
          </cell>
        </row>
        <row r="6707">
          <cell r="S6707" t="str">
            <v/>
          </cell>
        </row>
        <row r="6708">
          <cell r="S6708" t="str">
            <v/>
          </cell>
        </row>
        <row r="6709">
          <cell r="S6709" t="str">
            <v/>
          </cell>
        </row>
        <row r="6710">
          <cell r="S6710" t="str">
            <v/>
          </cell>
        </row>
        <row r="6711">
          <cell r="S6711" t="str">
            <v/>
          </cell>
        </row>
        <row r="6712">
          <cell r="S6712" t="str">
            <v/>
          </cell>
        </row>
        <row r="6713">
          <cell r="S6713" t="str">
            <v/>
          </cell>
        </row>
        <row r="6714">
          <cell r="S6714" t="str">
            <v/>
          </cell>
        </row>
        <row r="6715">
          <cell r="S6715" t="str">
            <v/>
          </cell>
        </row>
        <row r="6716">
          <cell r="S6716" t="str">
            <v/>
          </cell>
        </row>
        <row r="6717">
          <cell r="S6717" t="str">
            <v/>
          </cell>
        </row>
        <row r="6718">
          <cell r="S6718" t="str">
            <v/>
          </cell>
        </row>
        <row r="6719">
          <cell r="S6719" t="str">
            <v/>
          </cell>
        </row>
        <row r="6720">
          <cell r="S6720" t="str">
            <v/>
          </cell>
        </row>
        <row r="6721">
          <cell r="S6721" t="str">
            <v/>
          </cell>
        </row>
        <row r="6722">
          <cell r="S6722" t="str">
            <v/>
          </cell>
        </row>
        <row r="6723">
          <cell r="S6723" t="str">
            <v/>
          </cell>
        </row>
        <row r="6724">
          <cell r="S6724" t="str">
            <v/>
          </cell>
        </row>
        <row r="6725">
          <cell r="S6725" t="str">
            <v/>
          </cell>
        </row>
        <row r="6726">
          <cell r="S6726" t="str">
            <v/>
          </cell>
        </row>
        <row r="6727">
          <cell r="S6727" t="str">
            <v/>
          </cell>
        </row>
        <row r="6728">
          <cell r="S6728" t="str">
            <v/>
          </cell>
        </row>
        <row r="6729">
          <cell r="S6729" t="str">
            <v/>
          </cell>
        </row>
        <row r="6730">
          <cell r="S6730" t="str">
            <v/>
          </cell>
        </row>
        <row r="6731">
          <cell r="S6731" t="str">
            <v/>
          </cell>
        </row>
        <row r="6732">
          <cell r="S6732" t="str">
            <v/>
          </cell>
        </row>
        <row r="6733">
          <cell r="S6733" t="str">
            <v/>
          </cell>
        </row>
        <row r="6734">
          <cell r="S6734" t="str">
            <v/>
          </cell>
        </row>
        <row r="6735">
          <cell r="S6735" t="str">
            <v/>
          </cell>
        </row>
        <row r="6736">
          <cell r="S6736" t="str">
            <v/>
          </cell>
        </row>
        <row r="6737">
          <cell r="S6737" t="str">
            <v/>
          </cell>
        </row>
        <row r="6738">
          <cell r="S6738" t="str">
            <v/>
          </cell>
        </row>
        <row r="6739">
          <cell r="S6739" t="str">
            <v/>
          </cell>
        </row>
        <row r="6740">
          <cell r="S6740" t="str">
            <v/>
          </cell>
        </row>
        <row r="6741">
          <cell r="S6741" t="str">
            <v/>
          </cell>
        </row>
        <row r="6742">
          <cell r="S6742" t="str">
            <v/>
          </cell>
        </row>
        <row r="6743">
          <cell r="S6743" t="str">
            <v/>
          </cell>
        </row>
        <row r="6744">
          <cell r="S6744" t="str">
            <v/>
          </cell>
        </row>
        <row r="6745">
          <cell r="S6745" t="str">
            <v/>
          </cell>
        </row>
        <row r="6746">
          <cell r="S6746" t="str">
            <v/>
          </cell>
        </row>
        <row r="6747">
          <cell r="S6747" t="str">
            <v/>
          </cell>
        </row>
        <row r="6748">
          <cell r="S6748" t="str">
            <v/>
          </cell>
        </row>
        <row r="6749">
          <cell r="S6749" t="str">
            <v/>
          </cell>
        </row>
        <row r="6750">
          <cell r="S6750" t="str">
            <v/>
          </cell>
        </row>
        <row r="6751">
          <cell r="S6751" t="str">
            <v/>
          </cell>
        </row>
        <row r="6752">
          <cell r="S6752" t="str">
            <v/>
          </cell>
        </row>
        <row r="6753">
          <cell r="S6753" t="str">
            <v/>
          </cell>
        </row>
        <row r="6754">
          <cell r="S6754" t="str">
            <v/>
          </cell>
        </row>
        <row r="6755">
          <cell r="S6755" t="str">
            <v/>
          </cell>
        </row>
        <row r="6756">
          <cell r="S6756" t="str">
            <v/>
          </cell>
        </row>
        <row r="6757">
          <cell r="S6757" t="str">
            <v/>
          </cell>
        </row>
        <row r="6758">
          <cell r="S6758" t="str">
            <v/>
          </cell>
        </row>
        <row r="6759">
          <cell r="S6759" t="str">
            <v/>
          </cell>
        </row>
        <row r="6760">
          <cell r="S6760" t="str">
            <v/>
          </cell>
        </row>
        <row r="6761">
          <cell r="S6761" t="str">
            <v/>
          </cell>
        </row>
        <row r="6762">
          <cell r="S6762" t="str">
            <v/>
          </cell>
        </row>
        <row r="6763">
          <cell r="S6763" t="str">
            <v/>
          </cell>
        </row>
        <row r="6764">
          <cell r="S6764" t="str">
            <v/>
          </cell>
        </row>
        <row r="6765">
          <cell r="S6765" t="str">
            <v/>
          </cell>
        </row>
        <row r="6766">
          <cell r="S6766" t="str">
            <v/>
          </cell>
        </row>
        <row r="6767">
          <cell r="S6767" t="str">
            <v/>
          </cell>
        </row>
        <row r="6768">
          <cell r="S6768" t="str">
            <v/>
          </cell>
        </row>
        <row r="6769">
          <cell r="S6769" t="str">
            <v/>
          </cell>
        </row>
        <row r="6770">
          <cell r="S6770" t="str">
            <v/>
          </cell>
        </row>
        <row r="6771">
          <cell r="S6771" t="str">
            <v/>
          </cell>
        </row>
        <row r="6772">
          <cell r="S6772" t="str">
            <v/>
          </cell>
        </row>
        <row r="6773">
          <cell r="S6773" t="str">
            <v/>
          </cell>
        </row>
        <row r="6774">
          <cell r="S6774" t="str">
            <v/>
          </cell>
        </row>
        <row r="6775">
          <cell r="S6775" t="str">
            <v/>
          </cell>
        </row>
        <row r="6776">
          <cell r="S6776" t="str">
            <v/>
          </cell>
        </row>
        <row r="6777">
          <cell r="S6777" t="str">
            <v/>
          </cell>
        </row>
        <row r="6778">
          <cell r="S6778" t="str">
            <v/>
          </cell>
        </row>
        <row r="6779">
          <cell r="S6779" t="str">
            <v/>
          </cell>
        </row>
        <row r="6780">
          <cell r="S6780" t="str">
            <v/>
          </cell>
        </row>
        <row r="6781">
          <cell r="S6781" t="str">
            <v/>
          </cell>
        </row>
        <row r="6782">
          <cell r="S6782" t="str">
            <v/>
          </cell>
        </row>
        <row r="6783">
          <cell r="S6783" t="str">
            <v/>
          </cell>
        </row>
        <row r="6784">
          <cell r="S6784" t="str">
            <v/>
          </cell>
        </row>
        <row r="6785">
          <cell r="S6785" t="str">
            <v/>
          </cell>
        </row>
        <row r="6786">
          <cell r="S6786" t="str">
            <v/>
          </cell>
        </row>
        <row r="6787">
          <cell r="S6787" t="str">
            <v/>
          </cell>
        </row>
        <row r="6788">
          <cell r="S6788" t="str">
            <v/>
          </cell>
        </row>
        <row r="6789">
          <cell r="S6789" t="str">
            <v/>
          </cell>
        </row>
        <row r="6790">
          <cell r="S6790" t="str">
            <v/>
          </cell>
        </row>
        <row r="6791">
          <cell r="S6791" t="str">
            <v/>
          </cell>
        </row>
        <row r="6792">
          <cell r="S6792" t="str">
            <v/>
          </cell>
        </row>
        <row r="6793">
          <cell r="S6793" t="str">
            <v/>
          </cell>
        </row>
        <row r="6794">
          <cell r="S6794" t="str">
            <v/>
          </cell>
        </row>
        <row r="6795">
          <cell r="S6795" t="str">
            <v/>
          </cell>
        </row>
        <row r="6796">
          <cell r="S6796" t="str">
            <v/>
          </cell>
        </row>
        <row r="6797">
          <cell r="S6797" t="str">
            <v/>
          </cell>
        </row>
        <row r="6798">
          <cell r="S6798" t="str">
            <v/>
          </cell>
        </row>
        <row r="6799">
          <cell r="S6799" t="str">
            <v/>
          </cell>
        </row>
        <row r="6800">
          <cell r="S6800" t="str">
            <v/>
          </cell>
        </row>
        <row r="6801">
          <cell r="S6801" t="str">
            <v/>
          </cell>
        </row>
        <row r="6802">
          <cell r="S6802" t="str">
            <v/>
          </cell>
        </row>
        <row r="6803">
          <cell r="S6803" t="str">
            <v/>
          </cell>
        </row>
        <row r="6804">
          <cell r="S6804" t="str">
            <v/>
          </cell>
        </row>
        <row r="6805">
          <cell r="S6805" t="str">
            <v/>
          </cell>
        </row>
        <row r="6806">
          <cell r="S6806" t="str">
            <v/>
          </cell>
        </row>
        <row r="6807">
          <cell r="S6807" t="str">
            <v/>
          </cell>
        </row>
        <row r="6808">
          <cell r="S6808" t="str">
            <v/>
          </cell>
        </row>
        <row r="6809">
          <cell r="S6809" t="str">
            <v/>
          </cell>
        </row>
        <row r="6810">
          <cell r="S6810" t="str">
            <v/>
          </cell>
        </row>
        <row r="6811">
          <cell r="S6811" t="str">
            <v/>
          </cell>
        </row>
        <row r="6812">
          <cell r="S6812" t="str">
            <v/>
          </cell>
        </row>
        <row r="6813">
          <cell r="S6813" t="str">
            <v/>
          </cell>
        </row>
        <row r="6814">
          <cell r="S6814" t="str">
            <v/>
          </cell>
        </row>
        <row r="6815">
          <cell r="S6815" t="str">
            <v/>
          </cell>
        </row>
        <row r="6816">
          <cell r="S6816" t="str">
            <v/>
          </cell>
        </row>
        <row r="6817">
          <cell r="S6817" t="str">
            <v/>
          </cell>
        </row>
        <row r="6818">
          <cell r="S6818" t="str">
            <v/>
          </cell>
        </row>
        <row r="6819">
          <cell r="S6819" t="str">
            <v/>
          </cell>
        </row>
        <row r="6820">
          <cell r="S6820" t="str">
            <v/>
          </cell>
        </row>
        <row r="6821">
          <cell r="S6821" t="str">
            <v/>
          </cell>
        </row>
        <row r="6822">
          <cell r="S6822" t="str">
            <v/>
          </cell>
        </row>
        <row r="6823">
          <cell r="S6823" t="str">
            <v/>
          </cell>
        </row>
        <row r="6824">
          <cell r="S6824" t="str">
            <v/>
          </cell>
        </row>
        <row r="6825">
          <cell r="S6825" t="str">
            <v/>
          </cell>
        </row>
        <row r="6826">
          <cell r="S6826" t="str">
            <v/>
          </cell>
        </row>
        <row r="6827">
          <cell r="S6827" t="str">
            <v/>
          </cell>
        </row>
        <row r="6828">
          <cell r="S6828" t="str">
            <v/>
          </cell>
        </row>
        <row r="6829">
          <cell r="S6829" t="str">
            <v/>
          </cell>
        </row>
        <row r="6830">
          <cell r="S6830" t="str">
            <v/>
          </cell>
        </row>
        <row r="6831">
          <cell r="S6831" t="str">
            <v/>
          </cell>
        </row>
        <row r="6832">
          <cell r="S6832" t="str">
            <v/>
          </cell>
        </row>
        <row r="6833">
          <cell r="S6833" t="str">
            <v/>
          </cell>
        </row>
        <row r="6834">
          <cell r="S6834" t="str">
            <v/>
          </cell>
        </row>
        <row r="6835">
          <cell r="S6835" t="str">
            <v/>
          </cell>
        </row>
        <row r="6836">
          <cell r="S6836" t="str">
            <v/>
          </cell>
        </row>
        <row r="6837">
          <cell r="S6837" t="str">
            <v/>
          </cell>
        </row>
        <row r="6838">
          <cell r="S6838" t="str">
            <v/>
          </cell>
        </row>
        <row r="6839">
          <cell r="S6839" t="str">
            <v/>
          </cell>
        </row>
        <row r="6840">
          <cell r="S6840" t="str">
            <v/>
          </cell>
        </row>
        <row r="6841">
          <cell r="S6841" t="str">
            <v/>
          </cell>
        </row>
        <row r="6842">
          <cell r="S6842" t="str">
            <v/>
          </cell>
        </row>
        <row r="6843">
          <cell r="S6843" t="str">
            <v/>
          </cell>
        </row>
        <row r="6844">
          <cell r="S6844" t="str">
            <v/>
          </cell>
        </row>
        <row r="6845">
          <cell r="S6845" t="str">
            <v/>
          </cell>
        </row>
        <row r="6846">
          <cell r="S6846" t="str">
            <v/>
          </cell>
        </row>
        <row r="6847">
          <cell r="S6847" t="str">
            <v/>
          </cell>
        </row>
        <row r="6848">
          <cell r="S6848" t="str">
            <v/>
          </cell>
        </row>
        <row r="6849">
          <cell r="S6849" t="str">
            <v/>
          </cell>
        </row>
        <row r="6850">
          <cell r="S6850" t="str">
            <v/>
          </cell>
        </row>
        <row r="6851">
          <cell r="S6851" t="str">
            <v/>
          </cell>
        </row>
        <row r="6852">
          <cell r="S6852" t="str">
            <v/>
          </cell>
        </row>
        <row r="6853">
          <cell r="S6853" t="str">
            <v/>
          </cell>
        </row>
        <row r="6854">
          <cell r="S6854" t="str">
            <v/>
          </cell>
        </row>
        <row r="6855">
          <cell r="S6855" t="str">
            <v/>
          </cell>
        </row>
        <row r="6856">
          <cell r="S6856" t="str">
            <v/>
          </cell>
        </row>
        <row r="6857">
          <cell r="S6857" t="str">
            <v/>
          </cell>
        </row>
        <row r="6858">
          <cell r="S6858" t="str">
            <v/>
          </cell>
        </row>
        <row r="6859">
          <cell r="S6859" t="str">
            <v/>
          </cell>
        </row>
        <row r="6860">
          <cell r="S6860" t="str">
            <v/>
          </cell>
        </row>
        <row r="6861">
          <cell r="S6861" t="str">
            <v/>
          </cell>
        </row>
        <row r="6862">
          <cell r="S6862" t="str">
            <v/>
          </cell>
        </row>
        <row r="6863">
          <cell r="S6863" t="str">
            <v/>
          </cell>
        </row>
        <row r="6864">
          <cell r="S6864" t="str">
            <v/>
          </cell>
        </row>
        <row r="6865">
          <cell r="S6865" t="str">
            <v/>
          </cell>
        </row>
        <row r="6866">
          <cell r="S6866" t="str">
            <v/>
          </cell>
        </row>
        <row r="6867">
          <cell r="S6867" t="str">
            <v/>
          </cell>
        </row>
        <row r="6868">
          <cell r="S6868" t="str">
            <v/>
          </cell>
        </row>
        <row r="6869">
          <cell r="S6869" t="str">
            <v/>
          </cell>
        </row>
        <row r="6870">
          <cell r="S6870" t="str">
            <v/>
          </cell>
        </row>
        <row r="6871">
          <cell r="S6871" t="str">
            <v/>
          </cell>
        </row>
        <row r="6872">
          <cell r="S6872" t="str">
            <v/>
          </cell>
        </row>
        <row r="6873">
          <cell r="S6873" t="str">
            <v/>
          </cell>
        </row>
        <row r="6874">
          <cell r="S6874" t="str">
            <v/>
          </cell>
        </row>
        <row r="6875">
          <cell r="S6875" t="str">
            <v/>
          </cell>
        </row>
        <row r="6876">
          <cell r="S6876" t="str">
            <v/>
          </cell>
        </row>
        <row r="6877">
          <cell r="S6877" t="str">
            <v/>
          </cell>
        </row>
        <row r="6878">
          <cell r="S6878" t="str">
            <v/>
          </cell>
        </row>
        <row r="6879">
          <cell r="S6879" t="str">
            <v/>
          </cell>
        </row>
        <row r="6880">
          <cell r="S6880" t="str">
            <v/>
          </cell>
        </row>
        <row r="6881">
          <cell r="S6881" t="str">
            <v/>
          </cell>
        </row>
        <row r="6882">
          <cell r="S6882" t="str">
            <v/>
          </cell>
        </row>
        <row r="6883">
          <cell r="S6883" t="str">
            <v/>
          </cell>
        </row>
        <row r="6884">
          <cell r="S6884" t="str">
            <v/>
          </cell>
        </row>
        <row r="6885">
          <cell r="S6885" t="str">
            <v/>
          </cell>
        </row>
        <row r="6886">
          <cell r="S6886" t="str">
            <v/>
          </cell>
        </row>
        <row r="6887">
          <cell r="S6887" t="str">
            <v/>
          </cell>
        </row>
        <row r="6888">
          <cell r="S6888" t="str">
            <v/>
          </cell>
        </row>
        <row r="6889">
          <cell r="S6889" t="str">
            <v/>
          </cell>
        </row>
        <row r="6890">
          <cell r="S6890" t="str">
            <v/>
          </cell>
        </row>
        <row r="6891">
          <cell r="S6891" t="str">
            <v/>
          </cell>
        </row>
        <row r="6892">
          <cell r="S6892" t="str">
            <v/>
          </cell>
        </row>
        <row r="6893">
          <cell r="S6893" t="str">
            <v/>
          </cell>
        </row>
        <row r="6894">
          <cell r="S6894" t="str">
            <v/>
          </cell>
        </row>
        <row r="6895">
          <cell r="S6895" t="str">
            <v/>
          </cell>
        </row>
        <row r="6896">
          <cell r="S6896" t="str">
            <v/>
          </cell>
        </row>
        <row r="6897">
          <cell r="S6897" t="str">
            <v/>
          </cell>
        </row>
        <row r="6898">
          <cell r="S6898" t="str">
            <v/>
          </cell>
        </row>
        <row r="6899">
          <cell r="S6899" t="str">
            <v/>
          </cell>
        </row>
        <row r="6900">
          <cell r="S6900" t="str">
            <v/>
          </cell>
        </row>
        <row r="6901">
          <cell r="S6901" t="str">
            <v/>
          </cell>
        </row>
        <row r="6902">
          <cell r="S6902" t="str">
            <v/>
          </cell>
        </row>
        <row r="6903">
          <cell r="S6903" t="str">
            <v/>
          </cell>
        </row>
        <row r="6904">
          <cell r="S6904" t="str">
            <v/>
          </cell>
        </row>
        <row r="6905">
          <cell r="S6905" t="str">
            <v/>
          </cell>
        </row>
        <row r="6906">
          <cell r="S6906" t="str">
            <v/>
          </cell>
        </row>
        <row r="6907">
          <cell r="S6907" t="str">
            <v/>
          </cell>
        </row>
        <row r="6908">
          <cell r="S6908" t="str">
            <v/>
          </cell>
        </row>
        <row r="6909">
          <cell r="S6909" t="str">
            <v/>
          </cell>
        </row>
        <row r="6910">
          <cell r="S6910" t="str">
            <v/>
          </cell>
        </row>
        <row r="6911">
          <cell r="S6911" t="str">
            <v/>
          </cell>
        </row>
        <row r="6912">
          <cell r="S6912" t="str">
            <v/>
          </cell>
        </row>
        <row r="6913">
          <cell r="S6913" t="str">
            <v/>
          </cell>
        </row>
        <row r="6914">
          <cell r="S6914" t="str">
            <v/>
          </cell>
        </row>
        <row r="6915">
          <cell r="S6915" t="str">
            <v/>
          </cell>
        </row>
        <row r="6916">
          <cell r="S6916" t="str">
            <v/>
          </cell>
        </row>
        <row r="6917">
          <cell r="S6917" t="str">
            <v/>
          </cell>
        </row>
        <row r="6918">
          <cell r="S6918" t="str">
            <v/>
          </cell>
        </row>
        <row r="6919">
          <cell r="S6919" t="str">
            <v/>
          </cell>
        </row>
        <row r="6920">
          <cell r="S6920" t="str">
            <v/>
          </cell>
        </row>
        <row r="6921">
          <cell r="S6921" t="str">
            <v/>
          </cell>
        </row>
        <row r="6922">
          <cell r="S6922" t="str">
            <v/>
          </cell>
        </row>
        <row r="6923">
          <cell r="S6923" t="str">
            <v/>
          </cell>
        </row>
        <row r="6924">
          <cell r="S6924" t="str">
            <v/>
          </cell>
        </row>
        <row r="6925">
          <cell r="S6925" t="str">
            <v/>
          </cell>
        </row>
        <row r="6926">
          <cell r="S6926" t="str">
            <v/>
          </cell>
        </row>
        <row r="6927">
          <cell r="S6927" t="str">
            <v/>
          </cell>
        </row>
        <row r="6928">
          <cell r="S6928" t="str">
            <v/>
          </cell>
        </row>
        <row r="6929">
          <cell r="S6929" t="str">
            <v/>
          </cell>
        </row>
        <row r="6930">
          <cell r="S6930" t="str">
            <v/>
          </cell>
        </row>
        <row r="6931">
          <cell r="S6931" t="str">
            <v/>
          </cell>
        </row>
        <row r="6932">
          <cell r="S6932" t="str">
            <v/>
          </cell>
        </row>
        <row r="6933">
          <cell r="S6933" t="str">
            <v/>
          </cell>
        </row>
        <row r="6934">
          <cell r="S6934" t="str">
            <v/>
          </cell>
        </row>
        <row r="6935">
          <cell r="S6935" t="str">
            <v/>
          </cell>
        </row>
        <row r="6936">
          <cell r="S6936" t="str">
            <v/>
          </cell>
        </row>
        <row r="6937">
          <cell r="S6937" t="str">
            <v/>
          </cell>
        </row>
        <row r="6938">
          <cell r="S6938" t="str">
            <v/>
          </cell>
        </row>
        <row r="6939">
          <cell r="S6939" t="str">
            <v/>
          </cell>
        </row>
        <row r="6940">
          <cell r="S6940" t="str">
            <v/>
          </cell>
        </row>
        <row r="6941">
          <cell r="S6941" t="str">
            <v/>
          </cell>
        </row>
        <row r="6942">
          <cell r="S6942" t="str">
            <v/>
          </cell>
        </row>
        <row r="6943">
          <cell r="S6943" t="str">
            <v/>
          </cell>
        </row>
        <row r="6944">
          <cell r="S6944" t="str">
            <v/>
          </cell>
        </row>
        <row r="6945">
          <cell r="S6945" t="str">
            <v/>
          </cell>
        </row>
        <row r="6946">
          <cell r="S6946" t="str">
            <v/>
          </cell>
        </row>
        <row r="6947">
          <cell r="S6947" t="str">
            <v/>
          </cell>
        </row>
        <row r="6948">
          <cell r="S6948" t="str">
            <v/>
          </cell>
        </row>
        <row r="6949">
          <cell r="S6949" t="str">
            <v/>
          </cell>
        </row>
        <row r="6950">
          <cell r="S6950" t="str">
            <v/>
          </cell>
        </row>
        <row r="6951">
          <cell r="S6951" t="str">
            <v/>
          </cell>
        </row>
        <row r="6952">
          <cell r="S6952" t="str">
            <v/>
          </cell>
        </row>
        <row r="6953">
          <cell r="S6953" t="str">
            <v/>
          </cell>
        </row>
        <row r="6954">
          <cell r="S6954" t="str">
            <v/>
          </cell>
        </row>
        <row r="6955">
          <cell r="S6955" t="str">
            <v/>
          </cell>
        </row>
        <row r="6956">
          <cell r="S6956" t="str">
            <v/>
          </cell>
        </row>
        <row r="6957">
          <cell r="S6957" t="str">
            <v/>
          </cell>
        </row>
        <row r="6958">
          <cell r="S6958" t="str">
            <v/>
          </cell>
        </row>
        <row r="6959">
          <cell r="S6959" t="str">
            <v/>
          </cell>
        </row>
        <row r="6960">
          <cell r="S6960" t="str">
            <v/>
          </cell>
        </row>
        <row r="6961">
          <cell r="S6961" t="str">
            <v/>
          </cell>
        </row>
        <row r="6962">
          <cell r="S6962" t="str">
            <v/>
          </cell>
        </row>
        <row r="6963">
          <cell r="S6963" t="str">
            <v/>
          </cell>
        </row>
        <row r="6964">
          <cell r="S6964" t="str">
            <v/>
          </cell>
        </row>
        <row r="6965">
          <cell r="S6965" t="str">
            <v/>
          </cell>
        </row>
        <row r="6966">
          <cell r="S6966" t="str">
            <v/>
          </cell>
        </row>
        <row r="6967">
          <cell r="S6967" t="str">
            <v/>
          </cell>
        </row>
        <row r="6968">
          <cell r="S6968" t="str">
            <v/>
          </cell>
        </row>
        <row r="6969">
          <cell r="S6969" t="str">
            <v/>
          </cell>
        </row>
        <row r="6970">
          <cell r="S6970" t="str">
            <v/>
          </cell>
        </row>
        <row r="6971">
          <cell r="S6971" t="str">
            <v/>
          </cell>
        </row>
        <row r="6972">
          <cell r="S6972" t="str">
            <v/>
          </cell>
        </row>
        <row r="6973">
          <cell r="S6973" t="str">
            <v/>
          </cell>
        </row>
        <row r="6974">
          <cell r="S6974" t="str">
            <v/>
          </cell>
        </row>
        <row r="6975">
          <cell r="S6975" t="str">
            <v/>
          </cell>
        </row>
        <row r="6976">
          <cell r="S6976" t="str">
            <v/>
          </cell>
        </row>
        <row r="6977">
          <cell r="S6977" t="str">
            <v/>
          </cell>
        </row>
        <row r="6978">
          <cell r="S6978" t="str">
            <v/>
          </cell>
        </row>
        <row r="6979">
          <cell r="S6979" t="str">
            <v/>
          </cell>
        </row>
        <row r="6980">
          <cell r="S6980" t="str">
            <v/>
          </cell>
        </row>
        <row r="6981">
          <cell r="S6981" t="str">
            <v/>
          </cell>
        </row>
        <row r="6982">
          <cell r="S6982" t="str">
            <v/>
          </cell>
        </row>
        <row r="6983">
          <cell r="S6983" t="str">
            <v/>
          </cell>
        </row>
        <row r="6984">
          <cell r="S6984" t="str">
            <v/>
          </cell>
        </row>
        <row r="6985">
          <cell r="S6985" t="str">
            <v/>
          </cell>
        </row>
        <row r="6986">
          <cell r="S6986" t="str">
            <v/>
          </cell>
        </row>
        <row r="6987">
          <cell r="S6987" t="str">
            <v/>
          </cell>
        </row>
        <row r="6988">
          <cell r="S6988" t="str">
            <v/>
          </cell>
        </row>
        <row r="6989">
          <cell r="S6989" t="str">
            <v/>
          </cell>
        </row>
        <row r="6990">
          <cell r="S6990" t="str">
            <v/>
          </cell>
        </row>
        <row r="6991">
          <cell r="S6991" t="str">
            <v/>
          </cell>
        </row>
        <row r="6992">
          <cell r="S6992" t="str">
            <v/>
          </cell>
        </row>
        <row r="6993">
          <cell r="S6993" t="str">
            <v/>
          </cell>
        </row>
        <row r="6994">
          <cell r="S6994" t="str">
            <v/>
          </cell>
        </row>
        <row r="6995">
          <cell r="S6995" t="str">
            <v/>
          </cell>
        </row>
        <row r="6996">
          <cell r="S6996" t="str">
            <v/>
          </cell>
        </row>
        <row r="6997">
          <cell r="S6997" t="str">
            <v/>
          </cell>
        </row>
        <row r="6998">
          <cell r="S6998" t="str">
            <v/>
          </cell>
        </row>
        <row r="6999">
          <cell r="S6999" t="str">
            <v/>
          </cell>
        </row>
        <row r="7000">
          <cell r="S7000" t="str">
            <v/>
          </cell>
        </row>
        <row r="7001">
          <cell r="S7001" t="str">
            <v/>
          </cell>
        </row>
        <row r="7002">
          <cell r="S7002" t="str">
            <v/>
          </cell>
        </row>
        <row r="7003">
          <cell r="S7003" t="str">
            <v/>
          </cell>
        </row>
        <row r="7004">
          <cell r="S7004" t="str">
            <v/>
          </cell>
        </row>
        <row r="7005">
          <cell r="S7005" t="str">
            <v/>
          </cell>
        </row>
        <row r="7006">
          <cell r="S7006" t="str">
            <v/>
          </cell>
        </row>
        <row r="7007">
          <cell r="S7007" t="str">
            <v/>
          </cell>
        </row>
        <row r="7008">
          <cell r="S7008" t="str">
            <v/>
          </cell>
        </row>
        <row r="7009">
          <cell r="S7009" t="str">
            <v/>
          </cell>
        </row>
        <row r="7010">
          <cell r="S7010" t="str">
            <v/>
          </cell>
        </row>
        <row r="7011">
          <cell r="S7011" t="str">
            <v/>
          </cell>
        </row>
        <row r="7012">
          <cell r="S7012" t="str">
            <v/>
          </cell>
        </row>
        <row r="7013">
          <cell r="S7013" t="str">
            <v/>
          </cell>
        </row>
        <row r="7014">
          <cell r="S7014" t="str">
            <v/>
          </cell>
        </row>
        <row r="7015">
          <cell r="S7015" t="str">
            <v/>
          </cell>
        </row>
        <row r="7016">
          <cell r="S7016" t="str">
            <v/>
          </cell>
        </row>
        <row r="7017">
          <cell r="S7017" t="str">
            <v/>
          </cell>
        </row>
        <row r="7018">
          <cell r="S7018" t="str">
            <v/>
          </cell>
        </row>
        <row r="7019">
          <cell r="S7019" t="str">
            <v/>
          </cell>
        </row>
        <row r="7020">
          <cell r="S7020" t="str">
            <v/>
          </cell>
        </row>
        <row r="7021">
          <cell r="S7021" t="str">
            <v/>
          </cell>
        </row>
        <row r="7022">
          <cell r="S7022" t="str">
            <v/>
          </cell>
        </row>
        <row r="7023">
          <cell r="S7023" t="str">
            <v/>
          </cell>
        </row>
        <row r="7024">
          <cell r="S7024" t="str">
            <v/>
          </cell>
        </row>
        <row r="7025">
          <cell r="S7025" t="str">
            <v/>
          </cell>
        </row>
        <row r="7026">
          <cell r="S7026" t="str">
            <v/>
          </cell>
        </row>
        <row r="7027">
          <cell r="S7027" t="str">
            <v/>
          </cell>
        </row>
        <row r="7028">
          <cell r="S7028" t="str">
            <v/>
          </cell>
        </row>
        <row r="7029">
          <cell r="S7029" t="str">
            <v/>
          </cell>
        </row>
        <row r="7030">
          <cell r="S7030" t="str">
            <v/>
          </cell>
        </row>
        <row r="7031">
          <cell r="S7031" t="str">
            <v/>
          </cell>
        </row>
        <row r="7032">
          <cell r="S7032" t="str">
            <v/>
          </cell>
        </row>
        <row r="7033">
          <cell r="S7033" t="str">
            <v/>
          </cell>
        </row>
        <row r="7034">
          <cell r="S7034" t="str">
            <v/>
          </cell>
        </row>
        <row r="7035">
          <cell r="S7035" t="str">
            <v/>
          </cell>
        </row>
        <row r="7036">
          <cell r="S7036" t="str">
            <v/>
          </cell>
        </row>
        <row r="7037">
          <cell r="S7037" t="str">
            <v/>
          </cell>
        </row>
        <row r="7038">
          <cell r="S7038" t="str">
            <v/>
          </cell>
        </row>
        <row r="7039">
          <cell r="S7039" t="str">
            <v/>
          </cell>
        </row>
        <row r="7040">
          <cell r="S7040" t="str">
            <v/>
          </cell>
        </row>
        <row r="7041">
          <cell r="S7041" t="str">
            <v/>
          </cell>
        </row>
        <row r="7042">
          <cell r="S7042" t="str">
            <v/>
          </cell>
        </row>
        <row r="7043">
          <cell r="S7043" t="str">
            <v/>
          </cell>
        </row>
        <row r="7044">
          <cell r="S7044" t="str">
            <v/>
          </cell>
        </row>
        <row r="7045">
          <cell r="S7045" t="str">
            <v/>
          </cell>
        </row>
        <row r="7046">
          <cell r="S7046" t="str">
            <v/>
          </cell>
        </row>
        <row r="7047">
          <cell r="S7047" t="str">
            <v/>
          </cell>
        </row>
        <row r="7048">
          <cell r="S7048" t="str">
            <v/>
          </cell>
        </row>
        <row r="7049">
          <cell r="S7049" t="str">
            <v/>
          </cell>
        </row>
        <row r="7050">
          <cell r="S7050" t="str">
            <v/>
          </cell>
        </row>
        <row r="7051">
          <cell r="S7051" t="str">
            <v/>
          </cell>
        </row>
        <row r="7052">
          <cell r="S7052" t="str">
            <v/>
          </cell>
        </row>
        <row r="7053">
          <cell r="S7053" t="str">
            <v/>
          </cell>
        </row>
        <row r="7054">
          <cell r="S7054" t="str">
            <v/>
          </cell>
        </row>
        <row r="7055">
          <cell r="S7055" t="str">
            <v/>
          </cell>
        </row>
        <row r="7056">
          <cell r="S7056" t="str">
            <v/>
          </cell>
        </row>
        <row r="7057">
          <cell r="S7057" t="str">
            <v/>
          </cell>
        </row>
        <row r="7058">
          <cell r="S7058" t="str">
            <v/>
          </cell>
        </row>
        <row r="7059">
          <cell r="S7059" t="str">
            <v/>
          </cell>
        </row>
        <row r="7060">
          <cell r="S7060" t="str">
            <v/>
          </cell>
        </row>
        <row r="7061">
          <cell r="S7061" t="str">
            <v/>
          </cell>
        </row>
        <row r="7062">
          <cell r="S7062" t="str">
            <v/>
          </cell>
        </row>
        <row r="7063">
          <cell r="S7063" t="str">
            <v/>
          </cell>
        </row>
        <row r="7064">
          <cell r="S7064" t="str">
            <v/>
          </cell>
        </row>
        <row r="7065">
          <cell r="S7065" t="str">
            <v/>
          </cell>
        </row>
        <row r="7066">
          <cell r="S7066" t="str">
            <v/>
          </cell>
        </row>
        <row r="7067">
          <cell r="S7067" t="str">
            <v/>
          </cell>
        </row>
        <row r="7068">
          <cell r="S7068" t="str">
            <v/>
          </cell>
        </row>
        <row r="7069">
          <cell r="S7069" t="str">
            <v/>
          </cell>
        </row>
        <row r="7070">
          <cell r="S7070" t="str">
            <v/>
          </cell>
        </row>
        <row r="7071">
          <cell r="S7071" t="str">
            <v/>
          </cell>
        </row>
        <row r="7072">
          <cell r="S7072" t="str">
            <v/>
          </cell>
        </row>
        <row r="7073">
          <cell r="S7073" t="str">
            <v/>
          </cell>
        </row>
        <row r="7074">
          <cell r="S7074" t="str">
            <v/>
          </cell>
        </row>
        <row r="7075">
          <cell r="S7075" t="str">
            <v/>
          </cell>
        </row>
        <row r="7076">
          <cell r="S7076" t="str">
            <v/>
          </cell>
        </row>
        <row r="7077">
          <cell r="S7077" t="str">
            <v/>
          </cell>
        </row>
        <row r="7078">
          <cell r="S7078" t="str">
            <v/>
          </cell>
        </row>
        <row r="7079">
          <cell r="S7079" t="str">
            <v/>
          </cell>
        </row>
        <row r="7080">
          <cell r="S7080" t="str">
            <v/>
          </cell>
        </row>
        <row r="7081">
          <cell r="S7081" t="str">
            <v/>
          </cell>
        </row>
        <row r="7082">
          <cell r="S7082" t="str">
            <v/>
          </cell>
        </row>
        <row r="7083">
          <cell r="S7083" t="str">
            <v/>
          </cell>
        </row>
        <row r="7084">
          <cell r="S7084" t="str">
            <v/>
          </cell>
        </row>
        <row r="7085">
          <cell r="S7085" t="str">
            <v/>
          </cell>
        </row>
        <row r="7086">
          <cell r="S7086" t="str">
            <v/>
          </cell>
        </row>
        <row r="7087">
          <cell r="S7087" t="str">
            <v/>
          </cell>
        </row>
        <row r="7088">
          <cell r="S7088" t="str">
            <v/>
          </cell>
        </row>
        <row r="7089">
          <cell r="S7089" t="str">
            <v/>
          </cell>
        </row>
        <row r="7090">
          <cell r="S7090" t="str">
            <v/>
          </cell>
        </row>
        <row r="7091">
          <cell r="S7091" t="str">
            <v/>
          </cell>
        </row>
        <row r="7092">
          <cell r="S7092" t="str">
            <v/>
          </cell>
        </row>
        <row r="7093">
          <cell r="S7093" t="str">
            <v/>
          </cell>
        </row>
        <row r="7094">
          <cell r="S7094" t="str">
            <v/>
          </cell>
        </row>
        <row r="7095">
          <cell r="S7095" t="str">
            <v/>
          </cell>
        </row>
        <row r="7096">
          <cell r="S7096" t="str">
            <v/>
          </cell>
        </row>
        <row r="7097">
          <cell r="S7097" t="str">
            <v/>
          </cell>
        </row>
        <row r="7098">
          <cell r="S7098" t="str">
            <v/>
          </cell>
        </row>
        <row r="7099">
          <cell r="S7099" t="str">
            <v/>
          </cell>
        </row>
        <row r="7100">
          <cell r="S7100" t="str">
            <v/>
          </cell>
        </row>
        <row r="7101">
          <cell r="S7101" t="str">
            <v/>
          </cell>
        </row>
        <row r="7102">
          <cell r="S7102" t="str">
            <v/>
          </cell>
        </row>
        <row r="7103">
          <cell r="S7103" t="str">
            <v/>
          </cell>
        </row>
        <row r="7104">
          <cell r="S7104" t="str">
            <v/>
          </cell>
        </row>
        <row r="7105">
          <cell r="S7105" t="str">
            <v/>
          </cell>
        </row>
        <row r="7106">
          <cell r="S7106" t="str">
            <v/>
          </cell>
        </row>
        <row r="7107">
          <cell r="S7107" t="str">
            <v/>
          </cell>
        </row>
        <row r="7108">
          <cell r="S7108" t="str">
            <v/>
          </cell>
        </row>
        <row r="7109">
          <cell r="S7109" t="str">
            <v/>
          </cell>
        </row>
        <row r="7110">
          <cell r="S7110" t="str">
            <v/>
          </cell>
        </row>
        <row r="7111">
          <cell r="S7111" t="str">
            <v/>
          </cell>
        </row>
        <row r="7112">
          <cell r="S7112" t="str">
            <v/>
          </cell>
        </row>
        <row r="7113">
          <cell r="S7113" t="str">
            <v/>
          </cell>
        </row>
        <row r="7114">
          <cell r="S7114" t="str">
            <v/>
          </cell>
        </row>
        <row r="7115">
          <cell r="S7115" t="str">
            <v/>
          </cell>
        </row>
        <row r="7116">
          <cell r="S7116" t="str">
            <v/>
          </cell>
        </row>
        <row r="7117">
          <cell r="S7117" t="str">
            <v/>
          </cell>
        </row>
        <row r="7118">
          <cell r="S7118" t="str">
            <v/>
          </cell>
        </row>
        <row r="7119">
          <cell r="S7119" t="str">
            <v/>
          </cell>
        </row>
        <row r="7120">
          <cell r="S7120" t="str">
            <v/>
          </cell>
        </row>
        <row r="7121">
          <cell r="S7121" t="str">
            <v/>
          </cell>
        </row>
        <row r="7122">
          <cell r="S7122" t="str">
            <v/>
          </cell>
        </row>
        <row r="7123">
          <cell r="S7123" t="str">
            <v/>
          </cell>
        </row>
        <row r="7124">
          <cell r="S7124" t="str">
            <v/>
          </cell>
        </row>
        <row r="7125">
          <cell r="S7125" t="str">
            <v/>
          </cell>
        </row>
        <row r="7126">
          <cell r="S7126" t="str">
            <v/>
          </cell>
        </row>
        <row r="7127">
          <cell r="S7127" t="str">
            <v/>
          </cell>
        </row>
        <row r="7128">
          <cell r="S7128" t="str">
            <v/>
          </cell>
        </row>
        <row r="7129">
          <cell r="S7129" t="str">
            <v/>
          </cell>
        </row>
        <row r="7130">
          <cell r="S7130" t="str">
            <v/>
          </cell>
        </row>
        <row r="7131">
          <cell r="S7131" t="str">
            <v/>
          </cell>
        </row>
        <row r="7132">
          <cell r="S7132" t="str">
            <v/>
          </cell>
        </row>
        <row r="7133">
          <cell r="S7133" t="str">
            <v/>
          </cell>
        </row>
        <row r="7134">
          <cell r="S7134" t="str">
            <v/>
          </cell>
        </row>
        <row r="7135">
          <cell r="S7135" t="str">
            <v/>
          </cell>
        </row>
        <row r="7136">
          <cell r="S7136" t="str">
            <v/>
          </cell>
        </row>
        <row r="7137">
          <cell r="S7137" t="str">
            <v/>
          </cell>
        </row>
        <row r="7138">
          <cell r="S7138" t="str">
            <v/>
          </cell>
        </row>
        <row r="7139">
          <cell r="S7139" t="str">
            <v/>
          </cell>
        </row>
        <row r="7140">
          <cell r="S7140" t="str">
            <v/>
          </cell>
        </row>
        <row r="7141">
          <cell r="S7141" t="str">
            <v/>
          </cell>
        </row>
        <row r="7142">
          <cell r="S7142" t="str">
            <v/>
          </cell>
        </row>
        <row r="7143">
          <cell r="S7143" t="str">
            <v/>
          </cell>
        </row>
        <row r="7144">
          <cell r="S7144" t="str">
            <v/>
          </cell>
        </row>
        <row r="7145">
          <cell r="S7145" t="str">
            <v/>
          </cell>
        </row>
        <row r="7146">
          <cell r="S7146" t="str">
            <v/>
          </cell>
        </row>
        <row r="7147">
          <cell r="S7147" t="str">
            <v/>
          </cell>
        </row>
        <row r="7148">
          <cell r="S7148" t="str">
            <v/>
          </cell>
        </row>
        <row r="7149">
          <cell r="S7149" t="str">
            <v/>
          </cell>
        </row>
        <row r="7150">
          <cell r="S7150" t="str">
            <v/>
          </cell>
        </row>
        <row r="7151">
          <cell r="S7151" t="str">
            <v/>
          </cell>
        </row>
        <row r="7152">
          <cell r="S7152" t="str">
            <v/>
          </cell>
        </row>
        <row r="7153">
          <cell r="S7153" t="str">
            <v/>
          </cell>
        </row>
        <row r="7154">
          <cell r="S7154" t="str">
            <v/>
          </cell>
        </row>
        <row r="7155">
          <cell r="S7155" t="str">
            <v/>
          </cell>
        </row>
        <row r="7156">
          <cell r="S7156" t="str">
            <v/>
          </cell>
        </row>
        <row r="7157">
          <cell r="S7157" t="str">
            <v/>
          </cell>
        </row>
        <row r="7158">
          <cell r="S7158" t="str">
            <v/>
          </cell>
        </row>
        <row r="7159">
          <cell r="S7159" t="str">
            <v/>
          </cell>
        </row>
        <row r="7160">
          <cell r="S7160" t="str">
            <v/>
          </cell>
        </row>
        <row r="7161">
          <cell r="S7161" t="str">
            <v/>
          </cell>
        </row>
        <row r="7162">
          <cell r="S7162" t="str">
            <v/>
          </cell>
        </row>
        <row r="7163">
          <cell r="S7163" t="str">
            <v/>
          </cell>
        </row>
        <row r="7164">
          <cell r="S7164" t="str">
            <v/>
          </cell>
        </row>
        <row r="7165">
          <cell r="S7165" t="str">
            <v/>
          </cell>
        </row>
        <row r="7166">
          <cell r="S7166" t="str">
            <v/>
          </cell>
        </row>
        <row r="7167">
          <cell r="S7167" t="str">
            <v/>
          </cell>
        </row>
        <row r="7168">
          <cell r="S7168" t="str">
            <v/>
          </cell>
        </row>
        <row r="7169">
          <cell r="S7169" t="str">
            <v/>
          </cell>
        </row>
        <row r="7170">
          <cell r="S7170" t="str">
            <v/>
          </cell>
        </row>
        <row r="7171">
          <cell r="S7171" t="str">
            <v/>
          </cell>
        </row>
        <row r="7172">
          <cell r="S7172" t="str">
            <v/>
          </cell>
        </row>
        <row r="7173">
          <cell r="S7173" t="str">
            <v/>
          </cell>
        </row>
        <row r="7174">
          <cell r="S7174" t="str">
            <v/>
          </cell>
        </row>
        <row r="7175">
          <cell r="S7175" t="str">
            <v/>
          </cell>
        </row>
        <row r="7176">
          <cell r="S7176" t="str">
            <v/>
          </cell>
        </row>
        <row r="7177">
          <cell r="S7177" t="str">
            <v/>
          </cell>
        </row>
        <row r="7178">
          <cell r="S7178" t="str">
            <v/>
          </cell>
        </row>
        <row r="7179">
          <cell r="S7179" t="str">
            <v/>
          </cell>
        </row>
        <row r="7180">
          <cell r="S7180" t="str">
            <v/>
          </cell>
        </row>
        <row r="7181">
          <cell r="S7181" t="str">
            <v/>
          </cell>
        </row>
        <row r="7182">
          <cell r="S7182" t="str">
            <v/>
          </cell>
        </row>
        <row r="7183">
          <cell r="S7183" t="str">
            <v/>
          </cell>
        </row>
        <row r="7184">
          <cell r="S7184" t="str">
            <v/>
          </cell>
        </row>
        <row r="7185">
          <cell r="S7185" t="str">
            <v/>
          </cell>
        </row>
        <row r="7186">
          <cell r="S7186" t="str">
            <v/>
          </cell>
        </row>
        <row r="7187">
          <cell r="S7187" t="str">
            <v/>
          </cell>
        </row>
        <row r="7188">
          <cell r="S7188" t="str">
            <v/>
          </cell>
        </row>
        <row r="7189">
          <cell r="S7189" t="str">
            <v/>
          </cell>
        </row>
        <row r="7190">
          <cell r="S7190" t="str">
            <v/>
          </cell>
        </row>
        <row r="7191">
          <cell r="S7191" t="str">
            <v/>
          </cell>
        </row>
        <row r="7192">
          <cell r="S7192" t="str">
            <v/>
          </cell>
        </row>
        <row r="7193">
          <cell r="S7193" t="str">
            <v/>
          </cell>
        </row>
        <row r="7194">
          <cell r="S7194" t="str">
            <v/>
          </cell>
        </row>
        <row r="7195">
          <cell r="S7195" t="str">
            <v/>
          </cell>
        </row>
        <row r="7196">
          <cell r="S7196" t="str">
            <v/>
          </cell>
        </row>
        <row r="7197">
          <cell r="S7197" t="str">
            <v/>
          </cell>
        </row>
        <row r="7198">
          <cell r="S7198" t="str">
            <v/>
          </cell>
        </row>
        <row r="7199">
          <cell r="S7199" t="str">
            <v/>
          </cell>
        </row>
        <row r="7200">
          <cell r="S7200" t="str">
            <v/>
          </cell>
        </row>
        <row r="7201">
          <cell r="S7201" t="str">
            <v/>
          </cell>
        </row>
        <row r="7202">
          <cell r="S7202" t="str">
            <v/>
          </cell>
        </row>
        <row r="7203">
          <cell r="S7203" t="str">
            <v/>
          </cell>
        </row>
        <row r="7204">
          <cell r="S7204" t="str">
            <v/>
          </cell>
        </row>
        <row r="7205">
          <cell r="S7205" t="str">
            <v/>
          </cell>
        </row>
        <row r="7206">
          <cell r="S7206" t="str">
            <v/>
          </cell>
        </row>
        <row r="7207">
          <cell r="S7207" t="str">
            <v/>
          </cell>
        </row>
        <row r="7208">
          <cell r="S7208" t="str">
            <v/>
          </cell>
        </row>
        <row r="7209">
          <cell r="S7209" t="str">
            <v/>
          </cell>
        </row>
        <row r="7210">
          <cell r="S7210" t="str">
            <v/>
          </cell>
        </row>
        <row r="7211">
          <cell r="S7211" t="str">
            <v/>
          </cell>
        </row>
        <row r="7212">
          <cell r="S7212" t="str">
            <v/>
          </cell>
        </row>
        <row r="7213">
          <cell r="S7213" t="str">
            <v/>
          </cell>
        </row>
        <row r="7214">
          <cell r="S7214" t="str">
            <v/>
          </cell>
        </row>
        <row r="7215">
          <cell r="S7215" t="str">
            <v/>
          </cell>
        </row>
        <row r="7216">
          <cell r="S7216" t="str">
            <v/>
          </cell>
        </row>
        <row r="7217">
          <cell r="S7217" t="str">
            <v/>
          </cell>
        </row>
        <row r="7218">
          <cell r="S7218" t="str">
            <v/>
          </cell>
        </row>
        <row r="7219">
          <cell r="S7219" t="str">
            <v/>
          </cell>
        </row>
        <row r="7220">
          <cell r="S7220" t="str">
            <v/>
          </cell>
        </row>
        <row r="7221">
          <cell r="S7221" t="str">
            <v/>
          </cell>
        </row>
        <row r="7222">
          <cell r="S7222" t="str">
            <v/>
          </cell>
        </row>
        <row r="7223">
          <cell r="S7223" t="str">
            <v/>
          </cell>
        </row>
        <row r="7224">
          <cell r="S7224" t="str">
            <v/>
          </cell>
        </row>
        <row r="7225">
          <cell r="S7225" t="str">
            <v/>
          </cell>
        </row>
        <row r="7226">
          <cell r="S7226" t="str">
            <v/>
          </cell>
        </row>
        <row r="7227">
          <cell r="S7227" t="str">
            <v/>
          </cell>
        </row>
        <row r="7228">
          <cell r="S7228" t="str">
            <v/>
          </cell>
        </row>
        <row r="7229">
          <cell r="S7229" t="str">
            <v/>
          </cell>
        </row>
        <row r="7230">
          <cell r="S7230" t="str">
            <v/>
          </cell>
        </row>
        <row r="7231">
          <cell r="S7231" t="str">
            <v/>
          </cell>
        </row>
        <row r="7232">
          <cell r="S7232" t="str">
            <v/>
          </cell>
        </row>
        <row r="7233">
          <cell r="S7233" t="str">
            <v/>
          </cell>
        </row>
        <row r="7234">
          <cell r="S7234" t="str">
            <v/>
          </cell>
        </row>
        <row r="7235">
          <cell r="S7235" t="str">
            <v/>
          </cell>
        </row>
        <row r="7236">
          <cell r="S7236" t="str">
            <v/>
          </cell>
        </row>
        <row r="7237">
          <cell r="S7237" t="str">
            <v/>
          </cell>
        </row>
        <row r="7238">
          <cell r="S7238" t="str">
            <v/>
          </cell>
        </row>
        <row r="7239">
          <cell r="S7239" t="str">
            <v/>
          </cell>
        </row>
        <row r="7240">
          <cell r="S7240" t="str">
            <v/>
          </cell>
        </row>
        <row r="7241">
          <cell r="S7241" t="str">
            <v/>
          </cell>
        </row>
        <row r="7242">
          <cell r="S7242" t="str">
            <v/>
          </cell>
        </row>
        <row r="7243">
          <cell r="S7243" t="str">
            <v/>
          </cell>
        </row>
        <row r="7244">
          <cell r="S7244" t="str">
            <v/>
          </cell>
        </row>
        <row r="7245">
          <cell r="S7245" t="str">
            <v/>
          </cell>
        </row>
        <row r="7246">
          <cell r="S7246" t="str">
            <v/>
          </cell>
        </row>
        <row r="7247">
          <cell r="S7247" t="str">
            <v/>
          </cell>
        </row>
        <row r="7248">
          <cell r="S7248" t="str">
            <v/>
          </cell>
        </row>
        <row r="7249">
          <cell r="S7249" t="str">
            <v/>
          </cell>
        </row>
        <row r="7250">
          <cell r="S7250" t="str">
            <v/>
          </cell>
        </row>
        <row r="7251">
          <cell r="S7251" t="str">
            <v/>
          </cell>
        </row>
        <row r="7252">
          <cell r="S7252" t="str">
            <v/>
          </cell>
        </row>
        <row r="7253">
          <cell r="S7253" t="str">
            <v/>
          </cell>
        </row>
        <row r="7254">
          <cell r="S7254" t="str">
            <v/>
          </cell>
        </row>
        <row r="7255">
          <cell r="S7255" t="str">
            <v/>
          </cell>
        </row>
        <row r="7256">
          <cell r="S7256" t="str">
            <v/>
          </cell>
        </row>
        <row r="7257">
          <cell r="S7257" t="str">
            <v/>
          </cell>
        </row>
        <row r="7258">
          <cell r="S7258" t="str">
            <v/>
          </cell>
        </row>
        <row r="7259">
          <cell r="S7259" t="str">
            <v/>
          </cell>
        </row>
        <row r="7260">
          <cell r="S7260" t="str">
            <v/>
          </cell>
        </row>
        <row r="7261">
          <cell r="S7261" t="str">
            <v/>
          </cell>
        </row>
        <row r="7262">
          <cell r="S7262" t="str">
            <v/>
          </cell>
        </row>
        <row r="7263">
          <cell r="S7263" t="str">
            <v/>
          </cell>
        </row>
        <row r="7264">
          <cell r="S7264" t="str">
            <v/>
          </cell>
        </row>
        <row r="7265">
          <cell r="S7265" t="str">
            <v/>
          </cell>
        </row>
        <row r="7266">
          <cell r="S7266" t="str">
            <v/>
          </cell>
        </row>
        <row r="7267">
          <cell r="S7267" t="str">
            <v/>
          </cell>
        </row>
        <row r="7268">
          <cell r="S7268" t="str">
            <v/>
          </cell>
        </row>
        <row r="7269">
          <cell r="S7269" t="str">
            <v/>
          </cell>
        </row>
        <row r="7270">
          <cell r="S7270" t="str">
            <v/>
          </cell>
        </row>
        <row r="7271">
          <cell r="S7271" t="str">
            <v/>
          </cell>
        </row>
        <row r="7272">
          <cell r="S7272" t="str">
            <v/>
          </cell>
        </row>
        <row r="7273">
          <cell r="S7273" t="str">
            <v/>
          </cell>
        </row>
        <row r="7274">
          <cell r="S7274" t="str">
            <v/>
          </cell>
        </row>
        <row r="7275">
          <cell r="S7275" t="str">
            <v/>
          </cell>
        </row>
        <row r="7276">
          <cell r="S7276" t="str">
            <v/>
          </cell>
        </row>
        <row r="7277">
          <cell r="S7277" t="str">
            <v/>
          </cell>
        </row>
        <row r="7278">
          <cell r="S7278" t="str">
            <v/>
          </cell>
        </row>
        <row r="7279">
          <cell r="S7279" t="str">
            <v/>
          </cell>
        </row>
        <row r="7280">
          <cell r="S7280" t="str">
            <v/>
          </cell>
        </row>
        <row r="7281">
          <cell r="S7281" t="str">
            <v/>
          </cell>
        </row>
        <row r="7282">
          <cell r="S7282" t="str">
            <v/>
          </cell>
        </row>
        <row r="7283">
          <cell r="S7283" t="str">
            <v/>
          </cell>
        </row>
        <row r="7284">
          <cell r="S7284" t="str">
            <v/>
          </cell>
        </row>
        <row r="7285">
          <cell r="S7285" t="str">
            <v/>
          </cell>
        </row>
        <row r="7286">
          <cell r="S7286" t="str">
            <v/>
          </cell>
        </row>
        <row r="7287">
          <cell r="S7287" t="str">
            <v/>
          </cell>
        </row>
        <row r="7288">
          <cell r="S7288" t="str">
            <v/>
          </cell>
        </row>
        <row r="7289">
          <cell r="S7289" t="str">
            <v/>
          </cell>
        </row>
        <row r="7290">
          <cell r="S7290" t="str">
            <v/>
          </cell>
        </row>
        <row r="7291">
          <cell r="S7291" t="str">
            <v/>
          </cell>
        </row>
        <row r="7292">
          <cell r="S7292" t="str">
            <v/>
          </cell>
        </row>
        <row r="7293">
          <cell r="S7293" t="str">
            <v/>
          </cell>
        </row>
        <row r="7294">
          <cell r="S7294" t="str">
            <v/>
          </cell>
        </row>
        <row r="7295">
          <cell r="S7295" t="str">
            <v/>
          </cell>
        </row>
        <row r="7296">
          <cell r="S7296" t="str">
            <v/>
          </cell>
        </row>
        <row r="7297">
          <cell r="S7297" t="str">
            <v/>
          </cell>
        </row>
        <row r="7298">
          <cell r="S7298" t="str">
            <v/>
          </cell>
        </row>
        <row r="7299">
          <cell r="S7299" t="str">
            <v/>
          </cell>
        </row>
        <row r="7300">
          <cell r="S7300" t="str">
            <v/>
          </cell>
        </row>
        <row r="7301">
          <cell r="S7301" t="str">
            <v/>
          </cell>
        </row>
        <row r="7302">
          <cell r="S7302" t="str">
            <v/>
          </cell>
        </row>
        <row r="7303">
          <cell r="S7303" t="str">
            <v/>
          </cell>
        </row>
        <row r="7304">
          <cell r="S7304" t="str">
            <v/>
          </cell>
        </row>
        <row r="7305">
          <cell r="S7305" t="str">
            <v/>
          </cell>
        </row>
        <row r="7306">
          <cell r="S7306" t="str">
            <v/>
          </cell>
        </row>
        <row r="7307">
          <cell r="S7307" t="str">
            <v/>
          </cell>
        </row>
        <row r="7308">
          <cell r="S7308" t="str">
            <v/>
          </cell>
        </row>
        <row r="7309">
          <cell r="S7309" t="str">
            <v/>
          </cell>
        </row>
        <row r="7310">
          <cell r="S7310" t="str">
            <v/>
          </cell>
        </row>
        <row r="7311">
          <cell r="S7311" t="str">
            <v/>
          </cell>
        </row>
        <row r="7312">
          <cell r="S7312" t="str">
            <v/>
          </cell>
        </row>
        <row r="7313">
          <cell r="S7313" t="str">
            <v/>
          </cell>
        </row>
        <row r="7314">
          <cell r="S7314" t="str">
            <v/>
          </cell>
        </row>
        <row r="7315">
          <cell r="S7315" t="str">
            <v/>
          </cell>
        </row>
        <row r="7316">
          <cell r="S7316" t="str">
            <v/>
          </cell>
        </row>
        <row r="7317">
          <cell r="S7317" t="str">
            <v/>
          </cell>
        </row>
        <row r="7318">
          <cell r="S7318" t="str">
            <v/>
          </cell>
        </row>
        <row r="7319">
          <cell r="S7319" t="str">
            <v/>
          </cell>
        </row>
        <row r="7320">
          <cell r="S7320" t="str">
            <v/>
          </cell>
        </row>
        <row r="7321">
          <cell r="S7321" t="str">
            <v/>
          </cell>
        </row>
        <row r="7322">
          <cell r="S7322" t="str">
            <v/>
          </cell>
        </row>
        <row r="7323">
          <cell r="S7323" t="str">
            <v/>
          </cell>
        </row>
        <row r="7324">
          <cell r="S7324" t="str">
            <v/>
          </cell>
        </row>
        <row r="7325">
          <cell r="S7325" t="str">
            <v/>
          </cell>
        </row>
        <row r="7326">
          <cell r="S7326" t="str">
            <v/>
          </cell>
        </row>
        <row r="7327">
          <cell r="S7327" t="str">
            <v/>
          </cell>
        </row>
        <row r="7328">
          <cell r="S7328" t="str">
            <v/>
          </cell>
        </row>
        <row r="7329">
          <cell r="S7329" t="str">
            <v/>
          </cell>
        </row>
        <row r="7330">
          <cell r="S7330" t="str">
            <v/>
          </cell>
        </row>
        <row r="7331">
          <cell r="S7331" t="str">
            <v/>
          </cell>
        </row>
        <row r="7332">
          <cell r="S7332" t="str">
            <v/>
          </cell>
        </row>
        <row r="7333">
          <cell r="S7333" t="str">
            <v/>
          </cell>
        </row>
        <row r="7334">
          <cell r="S7334" t="str">
            <v/>
          </cell>
        </row>
        <row r="7335">
          <cell r="S7335" t="str">
            <v/>
          </cell>
        </row>
        <row r="7336">
          <cell r="S7336" t="str">
            <v/>
          </cell>
        </row>
        <row r="7337">
          <cell r="S7337" t="str">
            <v/>
          </cell>
        </row>
        <row r="7338">
          <cell r="S7338" t="str">
            <v/>
          </cell>
        </row>
        <row r="7339">
          <cell r="S7339" t="str">
            <v/>
          </cell>
        </row>
        <row r="7340">
          <cell r="S7340" t="str">
            <v/>
          </cell>
        </row>
        <row r="7341">
          <cell r="S7341" t="str">
            <v/>
          </cell>
        </row>
        <row r="7342">
          <cell r="S7342" t="str">
            <v/>
          </cell>
        </row>
        <row r="7343">
          <cell r="S7343" t="str">
            <v/>
          </cell>
        </row>
        <row r="7344">
          <cell r="S7344" t="str">
            <v/>
          </cell>
        </row>
        <row r="7345">
          <cell r="S7345" t="str">
            <v/>
          </cell>
        </row>
        <row r="7346">
          <cell r="S7346" t="str">
            <v/>
          </cell>
        </row>
        <row r="7347">
          <cell r="S7347" t="str">
            <v/>
          </cell>
        </row>
        <row r="7348">
          <cell r="S7348" t="str">
            <v/>
          </cell>
        </row>
        <row r="7349">
          <cell r="S7349" t="str">
            <v/>
          </cell>
        </row>
        <row r="7350">
          <cell r="S7350" t="str">
            <v/>
          </cell>
        </row>
        <row r="7351">
          <cell r="S7351" t="str">
            <v/>
          </cell>
        </row>
        <row r="7352">
          <cell r="S7352" t="str">
            <v/>
          </cell>
        </row>
        <row r="7353">
          <cell r="S7353" t="str">
            <v/>
          </cell>
        </row>
        <row r="7354">
          <cell r="S7354" t="str">
            <v/>
          </cell>
        </row>
        <row r="7355">
          <cell r="S7355" t="str">
            <v/>
          </cell>
        </row>
        <row r="7356">
          <cell r="S7356" t="str">
            <v/>
          </cell>
        </row>
        <row r="7357">
          <cell r="S7357" t="str">
            <v/>
          </cell>
        </row>
        <row r="7358">
          <cell r="S7358" t="str">
            <v/>
          </cell>
        </row>
        <row r="7359">
          <cell r="S7359" t="str">
            <v/>
          </cell>
        </row>
        <row r="7360">
          <cell r="S7360" t="str">
            <v/>
          </cell>
        </row>
        <row r="7361">
          <cell r="S7361" t="str">
            <v/>
          </cell>
        </row>
        <row r="7362">
          <cell r="S7362" t="str">
            <v/>
          </cell>
        </row>
        <row r="7363">
          <cell r="S7363" t="str">
            <v/>
          </cell>
        </row>
        <row r="7364">
          <cell r="S7364" t="str">
            <v/>
          </cell>
        </row>
        <row r="7365">
          <cell r="S7365" t="str">
            <v/>
          </cell>
        </row>
        <row r="7366">
          <cell r="S7366" t="str">
            <v/>
          </cell>
        </row>
        <row r="7367">
          <cell r="S7367" t="str">
            <v/>
          </cell>
        </row>
        <row r="7368">
          <cell r="S7368" t="str">
            <v/>
          </cell>
        </row>
        <row r="7369">
          <cell r="S7369" t="str">
            <v/>
          </cell>
        </row>
        <row r="7370">
          <cell r="S7370" t="str">
            <v/>
          </cell>
        </row>
        <row r="7371">
          <cell r="S7371" t="str">
            <v/>
          </cell>
        </row>
        <row r="7372">
          <cell r="S7372" t="str">
            <v/>
          </cell>
        </row>
        <row r="7373">
          <cell r="S7373" t="str">
            <v/>
          </cell>
        </row>
        <row r="7374">
          <cell r="S7374" t="str">
            <v/>
          </cell>
        </row>
        <row r="7375">
          <cell r="S7375" t="str">
            <v/>
          </cell>
        </row>
        <row r="7376">
          <cell r="S7376" t="str">
            <v/>
          </cell>
        </row>
        <row r="7377">
          <cell r="S7377" t="str">
            <v/>
          </cell>
        </row>
        <row r="7378">
          <cell r="S7378" t="str">
            <v/>
          </cell>
        </row>
        <row r="7379">
          <cell r="S7379" t="str">
            <v/>
          </cell>
        </row>
        <row r="7380">
          <cell r="S7380" t="str">
            <v/>
          </cell>
        </row>
        <row r="7381">
          <cell r="S7381" t="str">
            <v/>
          </cell>
        </row>
        <row r="7382">
          <cell r="S7382" t="str">
            <v/>
          </cell>
        </row>
        <row r="7383">
          <cell r="S7383" t="str">
            <v/>
          </cell>
        </row>
        <row r="7384">
          <cell r="S7384" t="str">
            <v/>
          </cell>
        </row>
        <row r="7385">
          <cell r="S7385" t="str">
            <v/>
          </cell>
        </row>
        <row r="7386">
          <cell r="S7386" t="str">
            <v/>
          </cell>
        </row>
        <row r="7387">
          <cell r="S7387" t="str">
            <v/>
          </cell>
        </row>
        <row r="7388">
          <cell r="S7388" t="str">
            <v/>
          </cell>
        </row>
        <row r="7389">
          <cell r="S7389" t="str">
            <v/>
          </cell>
        </row>
        <row r="7390">
          <cell r="S7390" t="str">
            <v/>
          </cell>
        </row>
        <row r="7391">
          <cell r="S7391" t="str">
            <v/>
          </cell>
        </row>
        <row r="7392">
          <cell r="S7392" t="str">
            <v/>
          </cell>
        </row>
        <row r="7393">
          <cell r="S7393" t="str">
            <v/>
          </cell>
        </row>
        <row r="7394">
          <cell r="S7394" t="str">
            <v/>
          </cell>
        </row>
        <row r="7395">
          <cell r="S7395" t="str">
            <v/>
          </cell>
        </row>
        <row r="7396">
          <cell r="S7396" t="str">
            <v/>
          </cell>
        </row>
        <row r="7397">
          <cell r="S7397" t="str">
            <v/>
          </cell>
        </row>
        <row r="7398">
          <cell r="S7398" t="str">
            <v/>
          </cell>
        </row>
        <row r="7399">
          <cell r="S7399" t="str">
            <v/>
          </cell>
        </row>
        <row r="7400">
          <cell r="S7400" t="str">
            <v/>
          </cell>
        </row>
        <row r="7401">
          <cell r="S7401" t="str">
            <v/>
          </cell>
        </row>
        <row r="7402">
          <cell r="S7402" t="str">
            <v/>
          </cell>
        </row>
        <row r="7403">
          <cell r="S7403" t="str">
            <v/>
          </cell>
        </row>
        <row r="7404">
          <cell r="S7404" t="str">
            <v/>
          </cell>
        </row>
        <row r="7405">
          <cell r="S7405" t="str">
            <v/>
          </cell>
        </row>
        <row r="7406">
          <cell r="S7406" t="str">
            <v/>
          </cell>
        </row>
        <row r="7407">
          <cell r="S7407" t="str">
            <v/>
          </cell>
        </row>
        <row r="7408">
          <cell r="S7408" t="str">
            <v/>
          </cell>
        </row>
        <row r="7409">
          <cell r="S7409" t="str">
            <v/>
          </cell>
        </row>
        <row r="7410">
          <cell r="S7410" t="str">
            <v/>
          </cell>
        </row>
        <row r="7411">
          <cell r="S7411" t="str">
            <v/>
          </cell>
        </row>
        <row r="7412">
          <cell r="S7412" t="str">
            <v/>
          </cell>
        </row>
        <row r="7413">
          <cell r="S7413" t="str">
            <v/>
          </cell>
        </row>
        <row r="7414">
          <cell r="S7414" t="str">
            <v/>
          </cell>
        </row>
        <row r="7415">
          <cell r="S7415" t="str">
            <v/>
          </cell>
        </row>
        <row r="7416">
          <cell r="S7416" t="str">
            <v/>
          </cell>
        </row>
        <row r="7417">
          <cell r="S7417" t="str">
            <v/>
          </cell>
        </row>
        <row r="7418">
          <cell r="S7418" t="str">
            <v/>
          </cell>
        </row>
        <row r="7419">
          <cell r="S7419" t="str">
            <v/>
          </cell>
        </row>
        <row r="7420">
          <cell r="S7420" t="str">
            <v/>
          </cell>
        </row>
        <row r="7421">
          <cell r="S7421" t="str">
            <v/>
          </cell>
        </row>
        <row r="7422">
          <cell r="S7422" t="str">
            <v/>
          </cell>
        </row>
        <row r="7423">
          <cell r="S7423" t="str">
            <v/>
          </cell>
        </row>
        <row r="7424">
          <cell r="S7424" t="str">
            <v/>
          </cell>
        </row>
        <row r="7425">
          <cell r="S7425" t="str">
            <v/>
          </cell>
        </row>
        <row r="7426">
          <cell r="S7426" t="str">
            <v/>
          </cell>
        </row>
        <row r="7427">
          <cell r="S7427" t="str">
            <v/>
          </cell>
        </row>
        <row r="7428">
          <cell r="S7428" t="str">
            <v/>
          </cell>
        </row>
        <row r="7429">
          <cell r="S7429" t="str">
            <v/>
          </cell>
        </row>
        <row r="7430">
          <cell r="S7430" t="str">
            <v/>
          </cell>
        </row>
        <row r="7431">
          <cell r="S7431" t="str">
            <v/>
          </cell>
        </row>
        <row r="7432">
          <cell r="S7432" t="str">
            <v/>
          </cell>
        </row>
        <row r="7433">
          <cell r="S7433" t="str">
            <v/>
          </cell>
        </row>
        <row r="7434">
          <cell r="S7434" t="str">
            <v/>
          </cell>
        </row>
        <row r="7435">
          <cell r="S7435" t="str">
            <v/>
          </cell>
        </row>
        <row r="7436">
          <cell r="S7436" t="str">
            <v/>
          </cell>
        </row>
        <row r="7437">
          <cell r="S7437" t="str">
            <v/>
          </cell>
        </row>
        <row r="7438">
          <cell r="S7438" t="str">
            <v/>
          </cell>
        </row>
        <row r="7439">
          <cell r="S7439" t="str">
            <v/>
          </cell>
        </row>
        <row r="7440">
          <cell r="S7440" t="str">
            <v/>
          </cell>
        </row>
        <row r="7441">
          <cell r="S7441" t="str">
            <v/>
          </cell>
        </row>
        <row r="7442">
          <cell r="S7442" t="str">
            <v/>
          </cell>
        </row>
        <row r="7443">
          <cell r="S7443" t="str">
            <v/>
          </cell>
        </row>
        <row r="7444">
          <cell r="S7444" t="str">
            <v/>
          </cell>
        </row>
        <row r="7445">
          <cell r="S7445" t="str">
            <v/>
          </cell>
        </row>
        <row r="7446">
          <cell r="S7446" t="str">
            <v/>
          </cell>
        </row>
        <row r="7447">
          <cell r="S7447" t="str">
            <v/>
          </cell>
        </row>
        <row r="7448">
          <cell r="S7448" t="str">
            <v/>
          </cell>
        </row>
        <row r="7449">
          <cell r="S7449" t="str">
            <v/>
          </cell>
        </row>
        <row r="7450">
          <cell r="S7450" t="str">
            <v/>
          </cell>
        </row>
        <row r="7451">
          <cell r="S7451" t="str">
            <v/>
          </cell>
        </row>
        <row r="7452">
          <cell r="S7452" t="str">
            <v/>
          </cell>
        </row>
        <row r="7453">
          <cell r="S7453" t="str">
            <v/>
          </cell>
        </row>
        <row r="7454">
          <cell r="S7454" t="str">
            <v/>
          </cell>
        </row>
        <row r="7455">
          <cell r="S7455" t="str">
            <v/>
          </cell>
        </row>
        <row r="7456">
          <cell r="S7456" t="str">
            <v/>
          </cell>
        </row>
        <row r="7457">
          <cell r="S7457" t="str">
            <v/>
          </cell>
        </row>
        <row r="7458">
          <cell r="S7458" t="str">
            <v/>
          </cell>
        </row>
        <row r="7459">
          <cell r="S7459" t="str">
            <v/>
          </cell>
        </row>
        <row r="7460">
          <cell r="S7460" t="str">
            <v/>
          </cell>
        </row>
        <row r="7461">
          <cell r="S7461" t="str">
            <v/>
          </cell>
        </row>
        <row r="7462">
          <cell r="S7462" t="str">
            <v/>
          </cell>
        </row>
        <row r="7463">
          <cell r="S7463" t="str">
            <v/>
          </cell>
        </row>
        <row r="7464">
          <cell r="S7464" t="str">
            <v/>
          </cell>
        </row>
        <row r="7465">
          <cell r="S7465" t="str">
            <v/>
          </cell>
        </row>
        <row r="7466">
          <cell r="S7466" t="str">
            <v/>
          </cell>
        </row>
        <row r="7467">
          <cell r="S7467" t="str">
            <v/>
          </cell>
        </row>
        <row r="7468">
          <cell r="S7468" t="str">
            <v/>
          </cell>
        </row>
        <row r="7469">
          <cell r="S7469" t="str">
            <v/>
          </cell>
        </row>
        <row r="7470">
          <cell r="S7470" t="str">
            <v/>
          </cell>
        </row>
        <row r="7471">
          <cell r="S7471" t="str">
            <v/>
          </cell>
        </row>
        <row r="7472">
          <cell r="S7472" t="str">
            <v/>
          </cell>
        </row>
        <row r="7473">
          <cell r="S7473" t="str">
            <v/>
          </cell>
        </row>
        <row r="7474">
          <cell r="S7474" t="str">
            <v/>
          </cell>
        </row>
        <row r="7475">
          <cell r="S7475" t="str">
            <v/>
          </cell>
        </row>
        <row r="7476">
          <cell r="S7476" t="str">
            <v/>
          </cell>
        </row>
        <row r="7477">
          <cell r="S7477" t="str">
            <v/>
          </cell>
        </row>
        <row r="7478">
          <cell r="S7478" t="str">
            <v/>
          </cell>
        </row>
        <row r="7479">
          <cell r="S7479" t="str">
            <v/>
          </cell>
        </row>
        <row r="7480">
          <cell r="S7480" t="str">
            <v/>
          </cell>
        </row>
        <row r="7481">
          <cell r="S7481" t="str">
            <v/>
          </cell>
        </row>
        <row r="7482">
          <cell r="S7482" t="str">
            <v/>
          </cell>
        </row>
        <row r="7483">
          <cell r="S7483" t="str">
            <v/>
          </cell>
        </row>
        <row r="7484">
          <cell r="S7484" t="str">
            <v/>
          </cell>
        </row>
        <row r="7485">
          <cell r="S7485" t="str">
            <v/>
          </cell>
        </row>
        <row r="7486">
          <cell r="S7486" t="str">
            <v/>
          </cell>
        </row>
        <row r="7487">
          <cell r="S7487" t="str">
            <v/>
          </cell>
        </row>
        <row r="7488">
          <cell r="S7488" t="str">
            <v/>
          </cell>
        </row>
        <row r="7489">
          <cell r="S7489" t="str">
            <v/>
          </cell>
        </row>
        <row r="7490">
          <cell r="S7490" t="str">
            <v/>
          </cell>
        </row>
        <row r="7491">
          <cell r="S7491" t="str">
            <v/>
          </cell>
        </row>
        <row r="7492">
          <cell r="S7492" t="str">
            <v/>
          </cell>
        </row>
        <row r="7493">
          <cell r="S7493" t="str">
            <v/>
          </cell>
        </row>
        <row r="7494">
          <cell r="S7494" t="str">
            <v/>
          </cell>
        </row>
        <row r="7495">
          <cell r="S7495" t="str">
            <v/>
          </cell>
        </row>
        <row r="7496">
          <cell r="S7496" t="str">
            <v/>
          </cell>
        </row>
        <row r="7497">
          <cell r="S7497" t="str">
            <v/>
          </cell>
        </row>
        <row r="7498">
          <cell r="S7498" t="str">
            <v/>
          </cell>
        </row>
        <row r="7499">
          <cell r="S7499" t="str">
            <v/>
          </cell>
        </row>
        <row r="7500">
          <cell r="S7500" t="str">
            <v/>
          </cell>
        </row>
        <row r="7501">
          <cell r="S7501" t="str">
            <v/>
          </cell>
        </row>
        <row r="7502">
          <cell r="S7502" t="str">
            <v/>
          </cell>
        </row>
        <row r="7503">
          <cell r="S7503" t="str">
            <v/>
          </cell>
        </row>
        <row r="7504">
          <cell r="S7504" t="str">
            <v/>
          </cell>
        </row>
        <row r="7505">
          <cell r="S7505" t="str">
            <v/>
          </cell>
        </row>
        <row r="7506">
          <cell r="S7506" t="str">
            <v/>
          </cell>
        </row>
        <row r="7507">
          <cell r="S7507" t="str">
            <v/>
          </cell>
        </row>
        <row r="7508">
          <cell r="S7508" t="str">
            <v/>
          </cell>
        </row>
        <row r="7509">
          <cell r="S7509" t="str">
            <v/>
          </cell>
        </row>
        <row r="7510">
          <cell r="S7510" t="str">
            <v/>
          </cell>
        </row>
        <row r="7511">
          <cell r="S7511" t="str">
            <v/>
          </cell>
        </row>
        <row r="7512">
          <cell r="S7512" t="str">
            <v/>
          </cell>
        </row>
        <row r="7513">
          <cell r="S7513" t="str">
            <v/>
          </cell>
        </row>
        <row r="7514">
          <cell r="S7514" t="str">
            <v/>
          </cell>
        </row>
        <row r="7515">
          <cell r="S7515" t="str">
            <v/>
          </cell>
        </row>
        <row r="7516">
          <cell r="S7516" t="str">
            <v/>
          </cell>
        </row>
        <row r="7517">
          <cell r="S7517" t="str">
            <v/>
          </cell>
        </row>
        <row r="7518">
          <cell r="S7518" t="str">
            <v/>
          </cell>
        </row>
        <row r="7519">
          <cell r="S7519" t="str">
            <v/>
          </cell>
        </row>
        <row r="7520">
          <cell r="S7520" t="str">
            <v/>
          </cell>
        </row>
        <row r="7521">
          <cell r="S7521" t="str">
            <v/>
          </cell>
        </row>
        <row r="7522">
          <cell r="S7522" t="str">
            <v/>
          </cell>
        </row>
        <row r="7523">
          <cell r="S7523" t="str">
            <v/>
          </cell>
        </row>
        <row r="7524">
          <cell r="S7524" t="str">
            <v/>
          </cell>
        </row>
        <row r="7525">
          <cell r="S7525" t="str">
            <v/>
          </cell>
        </row>
        <row r="7526">
          <cell r="S7526" t="str">
            <v/>
          </cell>
        </row>
        <row r="7527">
          <cell r="S7527" t="str">
            <v/>
          </cell>
        </row>
        <row r="7528">
          <cell r="S7528" t="str">
            <v/>
          </cell>
        </row>
        <row r="7529">
          <cell r="S7529" t="str">
            <v/>
          </cell>
        </row>
        <row r="7530">
          <cell r="S7530" t="str">
            <v/>
          </cell>
        </row>
        <row r="7531">
          <cell r="S7531" t="str">
            <v/>
          </cell>
        </row>
        <row r="7532">
          <cell r="S7532" t="str">
            <v/>
          </cell>
        </row>
        <row r="7533">
          <cell r="S7533" t="str">
            <v/>
          </cell>
        </row>
        <row r="7534">
          <cell r="S7534" t="str">
            <v/>
          </cell>
        </row>
        <row r="7535">
          <cell r="S7535" t="str">
            <v/>
          </cell>
        </row>
        <row r="7536">
          <cell r="S7536" t="str">
            <v/>
          </cell>
        </row>
        <row r="7537">
          <cell r="S7537" t="str">
            <v/>
          </cell>
        </row>
        <row r="7538">
          <cell r="S7538" t="str">
            <v/>
          </cell>
        </row>
        <row r="7539">
          <cell r="S7539" t="str">
            <v/>
          </cell>
        </row>
        <row r="7540">
          <cell r="S7540" t="str">
            <v/>
          </cell>
        </row>
        <row r="7541">
          <cell r="S7541" t="str">
            <v/>
          </cell>
        </row>
        <row r="7542">
          <cell r="S7542" t="str">
            <v/>
          </cell>
        </row>
        <row r="7543">
          <cell r="S7543" t="str">
            <v/>
          </cell>
        </row>
        <row r="7544">
          <cell r="S7544" t="str">
            <v/>
          </cell>
        </row>
        <row r="7545">
          <cell r="S7545" t="str">
            <v/>
          </cell>
        </row>
        <row r="7546">
          <cell r="S7546" t="str">
            <v/>
          </cell>
        </row>
        <row r="7547">
          <cell r="S7547" t="str">
            <v/>
          </cell>
        </row>
        <row r="7548">
          <cell r="S7548" t="str">
            <v/>
          </cell>
        </row>
        <row r="7549">
          <cell r="S7549" t="str">
            <v/>
          </cell>
        </row>
        <row r="7550">
          <cell r="S7550" t="str">
            <v/>
          </cell>
        </row>
        <row r="7551">
          <cell r="S7551" t="str">
            <v/>
          </cell>
        </row>
        <row r="7552">
          <cell r="S7552" t="str">
            <v/>
          </cell>
        </row>
        <row r="7553">
          <cell r="S7553" t="str">
            <v/>
          </cell>
        </row>
        <row r="7554">
          <cell r="S7554" t="str">
            <v/>
          </cell>
        </row>
        <row r="7555">
          <cell r="S7555" t="str">
            <v/>
          </cell>
        </row>
        <row r="7556">
          <cell r="S7556" t="str">
            <v/>
          </cell>
        </row>
        <row r="7557">
          <cell r="S7557" t="str">
            <v/>
          </cell>
        </row>
        <row r="7558">
          <cell r="S7558" t="str">
            <v/>
          </cell>
        </row>
        <row r="7559">
          <cell r="S7559" t="str">
            <v/>
          </cell>
        </row>
        <row r="7560">
          <cell r="S7560" t="str">
            <v/>
          </cell>
        </row>
        <row r="7561">
          <cell r="S7561" t="str">
            <v/>
          </cell>
        </row>
        <row r="7562">
          <cell r="S7562" t="str">
            <v/>
          </cell>
        </row>
        <row r="7563">
          <cell r="S7563" t="str">
            <v/>
          </cell>
        </row>
        <row r="7564">
          <cell r="S7564" t="str">
            <v/>
          </cell>
        </row>
        <row r="7565">
          <cell r="S7565" t="str">
            <v/>
          </cell>
        </row>
        <row r="7566">
          <cell r="S7566" t="str">
            <v/>
          </cell>
        </row>
        <row r="7567">
          <cell r="S7567" t="str">
            <v/>
          </cell>
        </row>
        <row r="7568">
          <cell r="S7568" t="str">
            <v/>
          </cell>
        </row>
        <row r="7569">
          <cell r="S7569" t="str">
            <v/>
          </cell>
        </row>
        <row r="7570">
          <cell r="S7570" t="str">
            <v/>
          </cell>
        </row>
        <row r="7571">
          <cell r="S7571" t="str">
            <v/>
          </cell>
        </row>
        <row r="7572">
          <cell r="S7572" t="str">
            <v/>
          </cell>
        </row>
        <row r="7573">
          <cell r="S7573" t="str">
            <v/>
          </cell>
        </row>
        <row r="7574">
          <cell r="S7574" t="str">
            <v/>
          </cell>
        </row>
        <row r="7575">
          <cell r="S7575" t="str">
            <v/>
          </cell>
        </row>
        <row r="7576">
          <cell r="S7576" t="str">
            <v/>
          </cell>
        </row>
        <row r="7577">
          <cell r="S7577" t="str">
            <v/>
          </cell>
        </row>
        <row r="7578">
          <cell r="S7578" t="str">
            <v/>
          </cell>
        </row>
        <row r="7579">
          <cell r="S7579" t="str">
            <v/>
          </cell>
        </row>
        <row r="7580">
          <cell r="S7580" t="str">
            <v/>
          </cell>
        </row>
        <row r="7581">
          <cell r="S7581" t="str">
            <v/>
          </cell>
        </row>
        <row r="7582">
          <cell r="S7582" t="str">
            <v/>
          </cell>
        </row>
        <row r="7583">
          <cell r="S7583" t="str">
            <v/>
          </cell>
        </row>
        <row r="7584">
          <cell r="S7584" t="str">
            <v/>
          </cell>
        </row>
        <row r="7585">
          <cell r="S7585" t="str">
            <v/>
          </cell>
        </row>
        <row r="7586">
          <cell r="S7586" t="str">
            <v/>
          </cell>
        </row>
        <row r="7587">
          <cell r="S7587" t="str">
            <v/>
          </cell>
        </row>
        <row r="7588">
          <cell r="S7588" t="str">
            <v/>
          </cell>
        </row>
        <row r="7589">
          <cell r="S7589" t="str">
            <v/>
          </cell>
        </row>
        <row r="7590">
          <cell r="S7590" t="str">
            <v/>
          </cell>
        </row>
        <row r="7591">
          <cell r="S7591" t="str">
            <v/>
          </cell>
        </row>
        <row r="7592">
          <cell r="S7592" t="str">
            <v/>
          </cell>
        </row>
        <row r="7593">
          <cell r="S7593" t="str">
            <v/>
          </cell>
        </row>
        <row r="7594">
          <cell r="S7594" t="str">
            <v/>
          </cell>
        </row>
        <row r="7595">
          <cell r="S7595" t="str">
            <v/>
          </cell>
        </row>
        <row r="7596">
          <cell r="S7596" t="str">
            <v/>
          </cell>
        </row>
        <row r="7597">
          <cell r="S7597" t="str">
            <v/>
          </cell>
        </row>
        <row r="7598">
          <cell r="S7598" t="str">
            <v/>
          </cell>
        </row>
        <row r="7599">
          <cell r="S7599" t="str">
            <v/>
          </cell>
        </row>
        <row r="7600">
          <cell r="S7600" t="str">
            <v/>
          </cell>
        </row>
        <row r="7601">
          <cell r="S7601" t="str">
            <v/>
          </cell>
        </row>
        <row r="7602">
          <cell r="S7602" t="str">
            <v/>
          </cell>
        </row>
        <row r="7603">
          <cell r="S7603" t="str">
            <v/>
          </cell>
        </row>
        <row r="7604">
          <cell r="S7604" t="str">
            <v/>
          </cell>
        </row>
        <row r="7605">
          <cell r="S7605" t="str">
            <v/>
          </cell>
        </row>
        <row r="7606">
          <cell r="S7606" t="str">
            <v/>
          </cell>
        </row>
        <row r="7607">
          <cell r="S7607" t="str">
            <v/>
          </cell>
        </row>
        <row r="7608">
          <cell r="S7608" t="str">
            <v/>
          </cell>
        </row>
        <row r="7609">
          <cell r="S7609" t="str">
            <v/>
          </cell>
        </row>
        <row r="7610">
          <cell r="S7610" t="str">
            <v/>
          </cell>
        </row>
        <row r="7611">
          <cell r="S7611" t="str">
            <v/>
          </cell>
        </row>
        <row r="7612">
          <cell r="S7612" t="str">
            <v/>
          </cell>
        </row>
        <row r="7613">
          <cell r="S7613" t="str">
            <v/>
          </cell>
        </row>
        <row r="7614">
          <cell r="S7614" t="str">
            <v/>
          </cell>
        </row>
        <row r="7615">
          <cell r="S7615" t="str">
            <v/>
          </cell>
        </row>
        <row r="7616">
          <cell r="S7616" t="str">
            <v/>
          </cell>
        </row>
        <row r="7617">
          <cell r="S7617" t="str">
            <v/>
          </cell>
        </row>
        <row r="7618">
          <cell r="S7618" t="str">
            <v/>
          </cell>
        </row>
        <row r="7619">
          <cell r="S7619" t="str">
            <v/>
          </cell>
        </row>
        <row r="7620">
          <cell r="S7620" t="str">
            <v/>
          </cell>
        </row>
        <row r="7621">
          <cell r="S7621" t="str">
            <v/>
          </cell>
        </row>
        <row r="7622">
          <cell r="S7622" t="str">
            <v/>
          </cell>
        </row>
        <row r="7623">
          <cell r="S7623" t="str">
            <v/>
          </cell>
        </row>
        <row r="7624">
          <cell r="S7624" t="str">
            <v/>
          </cell>
        </row>
        <row r="7625">
          <cell r="S7625" t="str">
            <v/>
          </cell>
        </row>
        <row r="7626">
          <cell r="S7626" t="str">
            <v/>
          </cell>
        </row>
        <row r="7627">
          <cell r="S7627" t="str">
            <v/>
          </cell>
        </row>
        <row r="7628">
          <cell r="S7628" t="str">
            <v/>
          </cell>
        </row>
        <row r="7629">
          <cell r="S7629" t="str">
            <v/>
          </cell>
        </row>
        <row r="7630">
          <cell r="S7630" t="str">
            <v/>
          </cell>
        </row>
        <row r="7631">
          <cell r="S7631" t="str">
            <v/>
          </cell>
        </row>
        <row r="7632">
          <cell r="S7632" t="str">
            <v/>
          </cell>
        </row>
        <row r="7633">
          <cell r="S7633" t="str">
            <v/>
          </cell>
        </row>
        <row r="7634">
          <cell r="S7634" t="str">
            <v/>
          </cell>
        </row>
        <row r="7635">
          <cell r="S7635" t="str">
            <v/>
          </cell>
        </row>
        <row r="7636">
          <cell r="S7636" t="str">
            <v/>
          </cell>
        </row>
        <row r="7637">
          <cell r="S7637" t="str">
            <v/>
          </cell>
        </row>
        <row r="7638">
          <cell r="S7638" t="str">
            <v/>
          </cell>
        </row>
        <row r="7639">
          <cell r="S7639" t="str">
            <v/>
          </cell>
        </row>
        <row r="7640">
          <cell r="S7640" t="str">
            <v/>
          </cell>
        </row>
        <row r="7641">
          <cell r="S7641" t="str">
            <v/>
          </cell>
        </row>
        <row r="7642">
          <cell r="S7642" t="str">
            <v/>
          </cell>
        </row>
        <row r="7643">
          <cell r="S7643" t="str">
            <v/>
          </cell>
        </row>
        <row r="7644">
          <cell r="S7644" t="str">
            <v/>
          </cell>
        </row>
        <row r="7645">
          <cell r="S7645" t="str">
            <v/>
          </cell>
        </row>
        <row r="7646">
          <cell r="S7646" t="str">
            <v/>
          </cell>
        </row>
        <row r="7647">
          <cell r="S7647" t="str">
            <v/>
          </cell>
        </row>
        <row r="7648">
          <cell r="S7648" t="str">
            <v/>
          </cell>
        </row>
        <row r="7649">
          <cell r="S7649" t="str">
            <v/>
          </cell>
        </row>
        <row r="7650">
          <cell r="S7650" t="str">
            <v/>
          </cell>
        </row>
        <row r="7651">
          <cell r="S7651" t="str">
            <v/>
          </cell>
        </row>
        <row r="7652">
          <cell r="S7652" t="str">
            <v/>
          </cell>
        </row>
        <row r="7653">
          <cell r="S7653" t="str">
            <v/>
          </cell>
        </row>
        <row r="7654">
          <cell r="S7654" t="str">
            <v/>
          </cell>
        </row>
        <row r="7655">
          <cell r="S7655" t="str">
            <v/>
          </cell>
        </row>
        <row r="7656">
          <cell r="S7656" t="str">
            <v/>
          </cell>
        </row>
        <row r="7657">
          <cell r="S7657" t="str">
            <v/>
          </cell>
        </row>
        <row r="7658">
          <cell r="S7658" t="str">
            <v/>
          </cell>
        </row>
        <row r="7659">
          <cell r="S7659" t="str">
            <v/>
          </cell>
        </row>
        <row r="7660">
          <cell r="S7660" t="str">
            <v/>
          </cell>
        </row>
        <row r="7661">
          <cell r="S7661" t="str">
            <v/>
          </cell>
        </row>
        <row r="7662">
          <cell r="S7662" t="str">
            <v/>
          </cell>
        </row>
        <row r="7663">
          <cell r="S7663" t="str">
            <v/>
          </cell>
        </row>
        <row r="7664">
          <cell r="S7664" t="str">
            <v/>
          </cell>
        </row>
        <row r="7665">
          <cell r="S7665" t="str">
            <v/>
          </cell>
        </row>
        <row r="7666">
          <cell r="S7666" t="str">
            <v/>
          </cell>
        </row>
        <row r="7667">
          <cell r="S7667" t="str">
            <v/>
          </cell>
        </row>
        <row r="7668">
          <cell r="S7668" t="str">
            <v/>
          </cell>
        </row>
        <row r="7669">
          <cell r="S7669" t="str">
            <v/>
          </cell>
        </row>
        <row r="7670">
          <cell r="S7670" t="str">
            <v/>
          </cell>
        </row>
        <row r="7671">
          <cell r="S7671" t="str">
            <v/>
          </cell>
        </row>
        <row r="7672">
          <cell r="S7672" t="str">
            <v/>
          </cell>
        </row>
        <row r="7673">
          <cell r="S7673" t="str">
            <v/>
          </cell>
        </row>
        <row r="7674">
          <cell r="S7674" t="str">
            <v/>
          </cell>
        </row>
        <row r="7675">
          <cell r="S7675" t="str">
            <v/>
          </cell>
        </row>
        <row r="7676">
          <cell r="S7676" t="str">
            <v/>
          </cell>
        </row>
        <row r="7677">
          <cell r="S7677" t="str">
            <v/>
          </cell>
        </row>
        <row r="7678">
          <cell r="S7678" t="str">
            <v/>
          </cell>
        </row>
        <row r="7679">
          <cell r="S7679" t="str">
            <v/>
          </cell>
        </row>
        <row r="7680">
          <cell r="S7680" t="str">
            <v/>
          </cell>
        </row>
        <row r="7681">
          <cell r="S7681" t="str">
            <v/>
          </cell>
        </row>
        <row r="7682">
          <cell r="S7682" t="str">
            <v/>
          </cell>
        </row>
        <row r="7683">
          <cell r="S7683" t="str">
            <v/>
          </cell>
        </row>
        <row r="7684">
          <cell r="S7684" t="str">
            <v/>
          </cell>
        </row>
        <row r="7685">
          <cell r="S7685" t="str">
            <v/>
          </cell>
        </row>
        <row r="7686">
          <cell r="S7686" t="str">
            <v/>
          </cell>
        </row>
        <row r="7687">
          <cell r="S7687" t="str">
            <v/>
          </cell>
        </row>
        <row r="7688">
          <cell r="S7688" t="str">
            <v/>
          </cell>
        </row>
        <row r="7689">
          <cell r="S7689" t="str">
            <v/>
          </cell>
        </row>
        <row r="7690">
          <cell r="S7690" t="str">
            <v/>
          </cell>
        </row>
        <row r="7691">
          <cell r="S7691" t="str">
            <v/>
          </cell>
        </row>
        <row r="7692">
          <cell r="S7692" t="str">
            <v/>
          </cell>
        </row>
        <row r="7693">
          <cell r="S7693" t="str">
            <v/>
          </cell>
        </row>
        <row r="7694">
          <cell r="S7694" t="str">
            <v/>
          </cell>
        </row>
        <row r="7695">
          <cell r="S7695" t="str">
            <v/>
          </cell>
        </row>
        <row r="7696">
          <cell r="S7696" t="str">
            <v/>
          </cell>
        </row>
        <row r="7697">
          <cell r="S7697" t="str">
            <v/>
          </cell>
        </row>
        <row r="7698">
          <cell r="S7698" t="str">
            <v/>
          </cell>
        </row>
        <row r="7699">
          <cell r="S7699" t="str">
            <v/>
          </cell>
        </row>
        <row r="7700">
          <cell r="S7700" t="str">
            <v/>
          </cell>
        </row>
        <row r="7701">
          <cell r="S7701" t="str">
            <v/>
          </cell>
        </row>
        <row r="7702">
          <cell r="S7702" t="str">
            <v/>
          </cell>
        </row>
        <row r="7703">
          <cell r="S7703" t="str">
            <v/>
          </cell>
        </row>
        <row r="7704">
          <cell r="S7704" t="str">
            <v/>
          </cell>
        </row>
        <row r="7705">
          <cell r="S7705" t="str">
            <v/>
          </cell>
        </row>
        <row r="7706">
          <cell r="S7706" t="str">
            <v/>
          </cell>
        </row>
        <row r="7707">
          <cell r="S7707" t="str">
            <v/>
          </cell>
        </row>
        <row r="7708">
          <cell r="S7708" t="str">
            <v/>
          </cell>
        </row>
        <row r="7709">
          <cell r="S7709" t="str">
            <v/>
          </cell>
        </row>
        <row r="7710">
          <cell r="S7710" t="str">
            <v/>
          </cell>
        </row>
        <row r="7711">
          <cell r="S7711" t="str">
            <v/>
          </cell>
        </row>
        <row r="7712">
          <cell r="S7712" t="str">
            <v/>
          </cell>
        </row>
        <row r="7713">
          <cell r="S7713" t="str">
            <v/>
          </cell>
        </row>
        <row r="7714">
          <cell r="S7714" t="str">
            <v/>
          </cell>
        </row>
        <row r="7715">
          <cell r="S7715" t="str">
            <v/>
          </cell>
        </row>
        <row r="7716">
          <cell r="S7716" t="str">
            <v/>
          </cell>
        </row>
        <row r="7717">
          <cell r="S7717" t="str">
            <v/>
          </cell>
        </row>
        <row r="7718">
          <cell r="S7718" t="str">
            <v/>
          </cell>
        </row>
        <row r="7719">
          <cell r="S7719" t="str">
            <v/>
          </cell>
        </row>
        <row r="7720">
          <cell r="S7720" t="str">
            <v/>
          </cell>
        </row>
        <row r="7721">
          <cell r="S7721" t="str">
            <v/>
          </cell>
        </row>
        <row r="7722">
          <cell r="S7722" t="str">
            <v/>
          </cell>
        </row>
        <row r="7723">
          <cell r="S7723" t="str">
            <v/>
          </cell>
        </row>
        <row r="7724">
          <cell r="S7724" t="str">
            <v/>
          </cell>
        </row>
        <row r="7725">
          <cell r="S7725" t="str">
            <v/>
          </cell>
        </row>
        <row r="7726">
          <cell r="S7726" t="str">
            <v/>
          </cell>
        </row>
        <row r="7727">
          <cell r="S7727" t="str">
            <v/>
          </cell>
        </row>
        <row r="7728">
          <cell r="S7728" t="str">
            <v/>
          </cell>
        </row>
        <row r="7729">
          <cell r="S7729" t="str">
            <v/>
          </cell>
        </row>
        <row r="7730">
          <cell r="S7730" t="str">
            <v/>
          </cell>
        </row>
        <row r="7731">
          <cell r="S7731" t="str">
            <v/>
          </cell>
        </row>
        <row r="7732">
          <cell r="S7732" t="str">
            <v/>
          </cell>
        </row>
        <row r="7733">
          <cell r="S7733" t="str">
            <v/>
          </cell>
        </row>
        <row r="7734">
          <cell r="S7734" t="str">
            <v/>
          </cell>
        </row>
        <row r="7735">
          <cell r="S7735" t="str">
            <v/>
          </cell>
        </row>
        <row r="7736">
          <cell r="S7736" t="str">
            <v/>
          </cell>
        </row>
        <row r="7737">
          <cell r="S7737" t="str">
            <v/>
          </cell>
        </row>
        <row r="7738">
          <cell r="S7738" t="str">
            <v/>
          </cell>
        </row>
        <row r="7739">
          <cell r="S7739" t="str">
            <v/>
          </cell>
        </row>
        <row r="7740">
          <cell r="S7740" t="str">
            <v/>
          </cell>
        </row>
        <row r="7741">
          <cell r="S7741" t="str">
            <v/>
          </cell>
        </row>
        <row r="7742">
          <cell r="S7742" t="str">
            <v/>
          </cell>
        </row>
        <row r="7743">
          <cell r="S7743" t="str">
            <v/>
          </cell>
        </row>
        <row r="7744">
          <cell r="S7744" t="str">
            <v/>
          </cell>
        </row>
        <row r="7745">
          <cell r="S7745" t="str">
            <v/>
          </cell>
        </row>
        <row r="7746">
          <cell r="S7746" t="str">
            <v/>
          </cell>
        </row>
        <row r="7747">
          <cell r="S7747" t="str">
            <v/>
          </cell>
        </row>
        <row r="7748">
          <cell r="S7748" t="str">
            <v/>
          </cell>
        </row>
        <row r="7749">
          <cell r="S7749" t="str">
            <v/>
          </cell>
        </row>
        <row r="7750">
          <cell r="S7750" t="str">
            <v/>
          </cell>
        </row>
        <row r="7751">
          <cell r="S7751" t="str">
            <v/>
          </cell>
        </row>
        <row r="7752">
          <cell r="S7752" t="str">
            <v/>
          </cell>
        </row>
        <row r="7753">
          <cell r="S7753" t="str">
            <v/>
          </cell>
        </row>
        <row r="7754">
          <cell r="S7754" t="str">
            <v/>
          </cell>
        </row>
        <row r="7755">
          <cell r="S7755" t="str">
            <v/>
          </cell>
        </row>
        <row r="7756">
          <cell r="S7756" t="str">
            <v/>
          </cell>
        </row>
        <row r="7757">
          <cell r="S7757" t="str">
            <v/>
          </cell>
        </row>
        <row r="7758">
          <cell r="S7758" t="str">
            <v/>
          </cell>
        </row>
        <row r="7759">
          <cell r="S7759" t="str">
            <v/>
          </cell>
        </row>
        <row r="7760">
          <cell r="S7760" t="str">
            <v/>
          </cell>
        </row>
        <row r="7761">
          <cell r="S7761" t="str">
            <v/>
          </cell>
        </row>
        <row r="7762">
          <cell r="S7762" t="str">
            <v/>
          </cell>
        </row>
        <row r="7763">
          <cell r="S7763" t="str">
            <v/>
          </cell>
        </row>
        <row r="7764">
          <cell r="S7764" t="str">
            <v/>
          </cell>
        </row>
        <row r="7765">
          <cell r="S7765" t="str">
            <v/>
          </cell>
        </row>
        <row r="7766">
          <cell r="S7766" t="str">
            <v/>
          </cell>
        </row>
        <row r="7767">
          <cell r="S7767" t="str">
            <v/>
          </cell>
        </row>
        <row r="7768">
          <cell r="S7768" t="str">
            <v/>
          </cell>
        </row>
        <row r="7769">
          <cell r="S7769" t="str">
            <v/>
          </cell>
        </row>
        <row r="7770">
          <cell r="S7770" t="str">
            <v/>
          </cell>
        </row>
        <row r="7771">
          <cell r="S7771" t="str">
            <v/>
          </cell>
        </row>
        <row r="7772">
          <cell r="S7772" t="str">
            <v/>
          </cell>
        </row>
        <row r="7773">
          <cell r="S7773" t="str">
            <v/>
          </cell>
        </row>
        <row r="7774">
          <cell r="S7774" t="str">
            <v/>
          </cell>
        </row>
        <row r="7775">
          <cell r="S7775" t="str">
            <v/>
          </cell>
        </row>
        <row r="7776">
          <cell r="S7776" t="str">
            <v/>
          </cell>
        </row>
        <row r="7777">
          <cell r="S7777" t="str">
            <v/>
          </cell>
        </row>
        <row r="7778">
          <cell r="S7778" t="str">
            <v/>
          </cell>
        </row>
        <row r="7779">
          <cell r="S7779" t="str">
            <v/>
          </cell>
        </row>
        <row r="7780">
          <cell r="S7780" t="str">
            <v/>
          </cell>
        </row>
        <row r="7781">
          <cell r="S7781" t="str">
            <v/>
          </cell>
        </row>
        <row r="7782">
          <cell r="S7782" t="str">
            <v/>
          </cell>
        </row>
        <row r="7783">
          <cell r="S7783" t="str">
            <v/>
          </cell>
        </row>
        <row r="7784">
          <cell r="S7784" t="str">
            <v/>
          </cell>
        </row>
        <row r="7785">
          <cell r="S7785" t="str">
            <v/>
          </cell>
        </row>
        <row r="7786">
          <cell r="S7786" t="str">
            <v/>
          </cell>
        </row>
        <row r="7787">
          <cell r="S7787" t="str">
            <v/>
          </cell>
        </row>
        <row r="7788">
          <cell r="S7788" t="str">
            <v/>
          </cell>
        </row>
        <row r="7789">
          <cell r="S7789" t="str">
            <v/>
          </cell>
        </row>
        <row r="7790">
          <cell r="S7790" t="str">
            <v/>
          </cell>
        </row>
        <row r="7791">
          <cell r="S7791" t="str">
            <v/>
          </cell>
        </row>
        <row r="7792">
          <cell r="S7792" t="str">
            <v/>
          </cell>
        </row>
        <row r="7793">
          <cell r="S7793" t="str">
            <v/>
          </cell>
        </row>
        <row r="7794">
          <cell r="S7794" t="str">
            <v/>
          </cell>
        </row>
        <row r="7795">
          <cell r="S7795" t="str">
            <v/>
          </cell>
        </row>
        <row r="7796">
          <cell r="S7796" t="str">
            <v/>
          </cell>
        </row>
        <row r="7797">
          <cell r="S7797" t="str">
            <v/>
          </cell>
        </row>
        <row r="7798">
          <cell r="S7798" t="str">
            <v/>
          </cell>
        </row>
        <row r="7799">
          <cell r="S7799" t="str">
            <v/>
          </cell>
        </row>
        <row r="7800">
          <cell r="S7800" t="str">
            <v/>
          </cell>
        </row>
        <row r="7801">
          <cell r="S7801" t="str">
            <v/>
          </cell>
        </row>
        <row r="7802">
          <cell r="S7802" t="str">
            <v/>
          </cell>
        </row>
        <row r="7803">
          <cell r="S7803" t="str">
            <v/>
          </cell>
        </row>
        <row r="7804">
          <cell r="S7804" t="str">
            <v/>
          </cell>
        </row>
        <row r="7805">
          <cell r="S7805" t="str">
            <v/>
          </cell>
        </row>
        <row r="7806">
          <cell r="S7806" t="str">
            <v/>
          </cell>
        </row>
        <row r="7807">
          <cell r="S7807" t="str">
            <v/>
          </cell>
        </row>
        <row r="7808">
          <cell r="S7808" t="str">
            <v/>
          </cell>
        </row>
        <row r="7809">
          <cell r="S7809" t="str">
            <v/>
          </cell>
        </row>
        <row r="7810">
          <cell r="S7810" t="str">
            <v/>
          </cell>
        </row>
        <row r="7811">
          <cell r="S7811" t="str">
            <v/>
          </cell>
        </row>
        <row r="7812">
          <cell r="S7812" t="str">
            <v/>
          </cell>
        </row>
        <row r="7813">
          <cell r="S7813" t="str">
            <v/>
          </cell>
        </row>
        <row r="7814">
          <cell r="S7814" t="str">
            <v/>
          </cell>
        </row>
        <row r="7815">
          <cell r="S7815" t="str">
            <v/>
          </cell>
        </row>
        <row r="7816">
          <cell r="S7816" t="str">
            <v/>
          </cell>
        </row>
        <row r="7817">
          <cell r="S7817" t="str">
            <v/>
          </cell>
        </row>
        <row r="7818">
          <cell r="S7818" t="str">
            <v/>
          </cell>
        </row>
        <row r="7819">
          <cell r="S7819" t="str">
            <v/>
          </cell>
        </row>
        <row r="7820">
          <cell r="S7820" t="str">
            <v/>
          </cell>
        </row>
        <row r="7821">
          <cell r="S7821" t="str">
            <v/>
          </cell>
        </row>
        <row r="7822">
          <cell r="S7822" t="str">
            <v/>
          </cell>
        </row>
        <row r="7823">
          <cell r="S7823" t="str">
            <v/>
          </cell>
        </row>
        <row r="7824">
          <cell r="S7824" t="str">
            <v/>
          </cell>
        </row>
        <row r="7825">
          <cell r="S7825" t="str">
            <v/>
          </cell>
        </row>
        <row r="7826">
          <cell r="S7826" t="str">
            <v/>
          </cell>
        </row>
        <row r="7827">
          <cell r="S7827" t="str">
            <v/>
          </cell>
        </row>
        <row r="7828">
          <cell r="S7828" t="str">
            <v/>
          </cell>
        </row>
        <row r="7829">
          <cell r="S7829" t="str">
            <v/>
          </cell>
        </row>
        <row r="7830">
          <cell r="S7830" t="str">
            <v/>
          </cell>
        </row>
        <row r="7831">
          <cell r="S7831" t="str">
            <v/>
          </cell>
        </row>
        <row r="7832">
          <cell r="S7832" t="str">
            <v/>
          </cell>
        </row>
        <row r="7833">
          <cell r="S7833" t="str">
            <v/>
          </cell>
        </row>
        <row r="7834">
          <cell r="S7834" t="str">
            <v/>
          </cell>
        </row>
        <row r="7835">
          <cell r="S7835" t="str">
            <v/>
          </cell>
        </row>
        <row r="7836">
          <cell r="S7836" t="str">
            <v/>
          </cell>
        </row>
        <row r="7837">
          <cell r="S7837" t="str">
            <v/>
          </cell>
        </row>
        <row r="7838">
          <cell r="S7838" t="str">
            <v/>
          </cell>
        </row>
        <row r="7839">
          <cell r="S7839" t="str">
            <v/>
          </cell>
        </row>
        <row r="7840">
          <cell r="S7840" t="str">
            <v/>
          </cell>
        </row>
        <row r="7841">
          <cell r="S7841" t="str">
            <v/>
          </cell>
        </row>
        <row r="7842">
          <cell r="S7842" t="str">
            <v/>
          </cell>
        </row>
        <row r="7843">
          <cell r="S7843" t="str">
            <v/>
          </cell>
        </row>
        <row r="7844">
          <cell r="S7844" t="str">
            <v/>
          </cell>
        </row>
        <row r="7845">
          <cell r="S7845" t="str">
            <v/>
          </cell>
        </row>
        <row r="7846">
          <cell r="S7846" t="str">
            <v/>
          </cell>
        </row>
        <row r="7847">
          <cell r="S7847" t="str">
            <v/>
          </cell>
        </row>
        <row r="7848">
          <cell r="S7848" t="str">
            <v/>
          </cell>
        </row>
        <row r="7849">
          <cell r="S7849" t="str">
            <v/>
          </cell>
        </row>
        <row r="7850">
          <cell r="S7850" t="str">
            <v/>
          </cell>
        </row>
        <row r="7851">
          <cell r="S7851" t="str">
            <v/>
          </cell>
        </row>
        <row r="7852">
          <cell r="S7852" t="str">
            <v/>
          </cell>
        </row>
        <row r="7853">
          <cell r="S7853" t="str">
            <v/>
          </cell>
        </row>
        <row r="7854">
          <cell r="S7854" t="str">
            <v/>
          </cell>
        </row>
        <row r="7855">
          <cell r="S7855" t="str">
            <v/>
          </cell>
        </row>
        <row r="7856">
          <cell r="S7856" t="str">
            <v/>
          </cell>
        </row>
        <row r="7857">
          <cell r="S7857" t="str">
            <v/>
          </cell>
        </row>
        <row r="7858">
          <cell r="S7858" t="str">
            <v/>
          </cell>
        </row>
        <row r="7859">
          <cell r="S7859" t="str">
            <v/>
          </cell>
        </row>
        <row r="7860">
          <cell r="S7860" t="str">
            <v/>
          </cell>
        </row>
        <row r="7861">
          <cell r="S7861" t="str">
            <v/>
          </cell>
        </row>
        <row r="7862">
          <cell r="S7862" t="str">
            <v/>
          </cell>
        </row>
        <row r="7863">
          <cell r="S7863" t="str">
            <v/>
          </cell>
        </row>
        <row r="7864">
          <cell r="S7864" t="str">
            <v/>
          </cell>
        </row>
        <row r="7865">
          <cell r="S7865" t="str">
            <v/>
          </cell>
        </row>
        <row r="7866">
          <cell r="S7866" t="str">
            <v/>
          </cell>
        </row>
        <row r="7867">
          <cell r="S7867" t="str">
            <v/>
          </cell>
        </row>
        <row r="7868">
          <cell r="S7868" t="str">
            <v/>
          </cell>
        </row>
        <row r="7869">
          <cell r="S7869" t="str">
            <v/>
          </cell>
        </row>
        <row r="7870">
          <cell r="S7870" t="str">
            <v/>
          </cell>
        </row>
        <row r="7871">
          <cell r="S7871" t="str">
            <v/>
          </cell>
        </row>
        <row r="7872">
          <cell r="S7872" t="str">
            <v/>
          </cell>
        </row>
        <row r="7873">
          <cell r="S7873" t="str">
            <v/>
          </cell>
        </row>
        <row r="7874">
          <cell r="S7874" t="str">
            <v/>
          </cell>
        </row>
        <row r="7875">
          <cell r="S7875" t="str">
            <v/>
          </cell>
        </row>
        <row r="7876">
          <cell r="S7876" t="str">
            <v/>
          </cell>
        </row>
        <row r="7877">
          <cell r="S7877" t="str">
            <v/>
          </cell>
        </row>
        <row r="7878">
          <cell r="S7878" t="str">
            <v/>
          </cell>
        </row>
        <row r="7879">
          <cell r="S7879" t="str">
            <v/>
          </cell>
        </row>
        <row r="7880">
          <cell r="S7880" t="str">
            <v/>
          </cell>
        </row>
        <row r="7881">
          <cell r="S7881" t="str">
            <v/>
          </cell>
        </row>
        <row r="7882">
          <cell r="S7882" t="str">
            <v/>
          </cell>
        </row>
        <row r="7883">
          <cell r="S7883" t="str">
            <v/>
          </cell>
        </row>
        <row r="7884">
          <cell r="S7884" t="str">
            <v/>
          </cell>
        </row>
        <row r="7885">
          <cell r="S7885" t="str">
            <v/>
          </cell>
        </row>
        <row r="7886">
          <cell r="S7886" t="str">
            <v/>
          </cell>
        </row>
        <row r="7887">
          <cell r="S7887" t="str">
            <v/>
          </cell>
        </row>
        <row r="7888">
          <cell r="S7888" t="str">
            <v/>
          </cell>
        </row>
        <row r="7889">
          <cell r="S7889" t="str">
            <v/>
          </cell>
        </row>
        <row r="7890">
          <cell r="S7890" t="str">
            <v/>
          </cell>
        </row>
        <row r="7891">
          <cell r="S7891" t="str">
            <v/>
          </cell>
        </row>
        <row r="7892">
          <cell r="S7892" t="str">
            <v/>
          </cell>
        </row>
        <row r="7893">
          <cell r="S7893" t="str">
            <v/>
          </cell>
        </row>
        <row r="7894">
          <cell r="S7894" t="str">
            <v/>
          </cell>
        </row>
        <row r="7895">
          <cell r="S7895" t="str">
            <v/>
          </cell>
        </row>
        <row r="7896">
          <cell r="S7896" t="str">
            <v/>
          </cell>
        </row>
        <row r="7897">
          <cell r="S7897" t="str">
            <v/>
          </cell>
        </row>
        <row r="7898">
          <cell r="S7898" t="str">
            <v/>
          </cell>
        </row>
        <row r="7899">
          <cell r="S7899" t="str">
            <v/>
          </cell>
        </row>
        <row r="7900">
          <cell r="S7900" t="str">
            <v/>
          </cell>
        </row>
        <row r="7901">
          <cell r="S7901" t="str">
            <v/>
          </cell>
        </row>
        <row r="7902">
          <cell r="S7902" t="str">
            <v/>
          </cell>
        </row>
        <row r="7903">
          <cell r="S7903" t="str">
            <v/>
          </cell>
        </row>
        <row r="7904">
          <cell r="S7904" t="str">
            <v/>
          </cell>
        </row>
        <row r="7905">
          <cell r="S7905" t="str">
            <v/>
          </cell>
        </row>
        <row r="7906">
          <cell r="S7906" t="str">
            <v/>
          </cell>
        </row>
        <row r="7907">
          <cell r="S7907" t="str">
            <v/>
          </cell>
        </row>
        <row r="7908">
          <cell r="S7908" t="str">
            <v/>
          </cell>
        </row>
        <row r="7909">
          <cell r="S7909" t="str">
            <v/>
          </cell>
        </row>
        <row r="7910">
          <cell r="S7910" t="str">
            <v/>
          </cell>
        </row>
        <row r="7911">
          <cell r="S7911" t="str">
            <v/>
          </cell>
        </row>
        <row r="7912">
          <cell r="S7912" t="str">
            <v/>
          </cell>
        </row>
        <row r="7913">
          <cell r="S7913" t="str">
            <v/>
          </cell>
        </row>
        <row r="7914">
          <cell r="S7914" t="str">
            <v/>
          </cell>
        </row>
        <row r="7915">
          <cell r="S7915" t="str">
            <v/>
          </cell>
        </row>
        <row r="7916">
          <cell r="S7916" t="str">
            <v/>
          </cell>
        </row>
        <row r="7917">
          <cell r="S7917" t="str">
            <v/>
          </cell>
        </row>
        <row r="7918">
          <cell r="S7918" t="str">
            <v/>
          </cell>
        </row>
        <row r="7919">
          <cell r="S7919" t="str">
            <v/>
          </cell>
        </row>
        <row r="7920">
          <cell r="S7920" t="str">
            <v/>
          </cell>
        </row>
        <row r="7921">
          <cell r="S7921" t="str">
            <v/>
          </cell>
        </row>
        <row r="7922">
          <cell r="S7922" t="str">
            <v/>
          </cell>
        </row>
        <row r="7923">
          <cell r="S7923" t="str">
            <v/>
          </cell>
        </row>
        <row r="7924">
          <cell r="S7924" t="str">
            <v/>
          </cell>
        </row>
        <row r="7925">
          <cell r="S7925" t="str">
            <v/>
          </cell>
        </row>
        <row r="7926">
          <cell r="S7926" t="str">
            <v/>
          </cell>
        </row>
        <row r="7927">
          <cell r="S7927" t="str">
            <v/>
          </cell>
        </row>
        <row r="7928">
          <cell r="S7928" t="str">
            <v/>
          </cell>
        </row>
        <row r="7929">
          <cell r="S7929" t="str">
            <v/>
          </cell>
        </row>
        <row r="7930">
          <cell r="S7930" t="str">
            <v/>
          </cell>
        </row>
        <row r="7931">
          <cell r="S7931" t="str">
            <v/>
          </cell>
        </row>
        <row r="7932">
          <cell r="S7932" t="str">
            <v/>
          </cell>
        </row>
        <row r="7933">
          <cell r="S7933" t="str">
            <v/>
          </cell>
        </row>
        <row r="7934">
          <cell r="S7934" t="str">
            <v/>
          </cell>
        </row>
        <row r="7935">
          <cell r="S7935" t="str">
            <v/>
          </cell>
        </row>
        <row r="7936">
          <cell r="S7936" t="str">
            <v/>
          </cell>
        </row>
        <row r="7937">
          <cell r="S7937" t="str">
            <v/>
          </cell>
        </row>
        <row r="7938">
          <cell r="S7938" t="str">
            <v/>
          </cell>
        </row>
        <row r="7939">
          <cell r="S7939" t="str">
            <v/>
          </cell>
        </row>
        <row r="7940">
          <cell r="S7940" t="str">
            <v/>
          </cell>
        </row>
        <row r="7941">
          <cell r="S7941" t="str">
            <v/>
          </cell>
        </row>
        <row r="7942">
          <cell r="S7942" t="str">
            <v/>
          </cell>
        </row>
        <row r="7943">
          <cell r="S7943" t="str">
            <v/>
          </cell>
        </row>
        <row r="7944">
          <cell r="S7944" t="str">
            <v/>
          </cell>
        </row>
        <row r="7945">
          <cell r="S7945" t="str">
            <v/>
          </cell>
        </row>
        <row r="7946">
          <cell r="S7946" t="str">
            <v/>
          </cell>
        </row>
        <row r="7947">
          <cell r="S7947" t="str">
            <v/>
          </cell>
        </row>
        <row r="7948">
          <cell r="S7948" t="str">
            <v/>
          </cell>
        </row>
        <row r="7949">
          <cell r="S7949" t="str">
            <v/>
          </cell>
        </row>
        <row r="7950">
          <cell r="S7950" t="str">
            <v/>
          </cell>
        </row>
        <row r="7951">
          <cell r="S7951" t="str">
            <v/>
          </cell>
        </row>
        <row r="7952">
          <cell r="S7952" t="str">
            <v/>
          </cell>
        </row>
        <row r="7953">
          <cell r="S7953" t="str">
            <v/>
          </cell>
        </row>
        <row r="7954">
          <cell r="S7954" t="str">
            <v/>
          </cell>
        </row>
        <row r="7955">
          <cell r="S7955" t="str">
            <v/>
          </cell>
        </row>
        <row r="7956">
          <cell r="S7956" t="str">
            <v/>
          </cell>
        </row>
        <row r="7957">
          <cell r="S7957" t="str">
            <v/>
          </cell>
        </row>
        <row r="7958">
          <cell r="S7958" t="str">
            <v/>
          </cell>
        </row>
        <row r="7959">
          <cell r="S7959" t="str">
            <v/>
          </cell>
        </row>
        <row r="7960">
          <cell r="S7960" t="str">
            <v/>
          </cell>
        </row>
        <row r="7961">
          <cell r="S7961" t="str">
            <v/>
          </cell>
        </row>
        <row r="7962">
          <cell r="S7962" t="str">
            <v/>
          </cell>
        </row>
        <row r="7963">
          <cell r="S7963" t="str">
            <v/>
          </cell>
        </row>
        <row r="7964">
          <cell r="S7964" t="str">
            <v/>
          </cell>
        </row>
        <row r="7965">
          <cell r="S7965" t="str">
            <v/>
          </cell>
        </row>
        <row r="7966">
          <cell r="S7966" t="str">
            <v/>
          </cell>
        </row>
        <row r="7967">
          <cell r="S7967" t="str">
            <v/>
          </cell>
        </row>
        <row r="7968">
          <cell r="S7968" t="str">
            <v/>
          </cell>
        </row>
        <row r="7969">
          <cell r="S7969" t="str">
            <v/>
          </cell>
        </row>
        <row r="7970">
          <cell r="S7970" t="str">
            <v/>
          </cell>
        </row>
        <row r="7971">
          <cell r="S7971" t="str">
            <v/>
          </cell>
        </row>
        <row r="7972">
          <cell r="S7972" t="str">
            <v/>
          </cell>
        </row>
        <row r="7973">
          <cell r="S7973" t="str">
            <v/>
          </cell>
        </row>
        <row r="7974">
          <cell r="S7974" t="str">
            <v/>
          </cell>
        </row>
        <row r="7975">
          <cell r="S7975" t="str">
            <v/>
          </cell>
        </row>
        <row r="7976">
          <cell r="S7976" t="str">
            <v/>
          </cell>
        </row>
        <row r="7977">
          <cell r="S7977" t="str">
            <v/>
          </cell>
        </row>
        <row r="7978">
          <cell r="S7978" t="str">
            <v/>
          </cell>
        </row>
        <row r="7979">
          <cell r="S7979" t="str">
            <v/>
          </cell>
        </row>
        <row r="7980">
          <cell r="S7980" t="str">
            <v/>
          </cell>
        </row>
        <row r="7981">
          <cell r="S7981" t="str">
            <v/>
          </cell>
        </row>
        <row r="7982">
          <cell r="S7982" t="str">
            <v/>
          </cell>
        </row>
        <row r="7983">
          <cell r="S7983" t="str">
            <v/>
          </cell>
        </row>
        <row r="7984">
          <cell r="S7984" t="str">
            <v/>
          </cell>
        </row>
        <row r="7985">
          <cell r="S7985" t="str">
            <v/>
          </cell>
        </row>
        <row r="7986">
          <cell r="S7986" t="str">
            <v/>
          </cell>
        </row>
        <row r="7987">
          <cell r="S7987" t="str">
            <v/>
          </cell>
        </row>
        <row r="7988">
          <cell r="S7988" t="str">
            <v/>
          </cell>
        </row>
        <row r="7989">
          <cell r="S7989" t="str">
            <v/>
          </cell>
        </row>
        <row r="7990">
          <cell r="S7990" t="str">
            <v/>
          </cell>
        </row>
        <row r="7991">
          <cell r="S7991" t="str">
            <v/>
          </cell>
        </row>
        <row r="7992">
          <cell r="S7992" t="str">
            <v/>
          </cell>
        </row>
        <row r="7993">
          <cell r="S7993" t="str">
            <v/>
          </cell>
        </row>
        <row r="7994">
          <cell r="S7994" t="str">
            <v/>
          </cell>
        </row>
        <row r="7995">
          <cell r="S7995" t="str">
            <v/>
          </cell>
        </row>
        <row r="7996">
          <cell r="S7996" t="str">
            <v/>
          </cell>
        </row>
        <row r="7997">
          <cell r="S7997" t="str">
            <v/>
          </cell>
        </row>
        <row r="7998">
          <cell r="S7998" t="str">
            <v/>
          </cell>
        </row>
        <row r="7999">
          <cell r="S7999" t="str">
            <v/>
          </cell>
        </row>
        <row r="8000">
          <cell r="S8000" t="str">
            <v/>
          </cell>
        </row>
        <row r="8001">
          <cell r="S8001" t="str">
            <v/>
          </cell>
        </row>
        <row r="8002">
          <cell r="S8002" t="str">
            <v/>
          </cell>
        </row>
        <row r="8003">
          <cell r="S8003" t="str">
            <v/>
          </cell>
        </row>
        <row r="8004">
          <cell r="S8004" t="str">
            <v/>
          </cell>
        </row>
        <row r="8005">
          <cell r="S8005" t="str">
            <v/>
          </cell>
        </row>
        <row r="8006">
          <cell r="S8006" t="str">
            <v/>
          </cell>
        </row>
        <row r="8007">
          <cell r="S8007" t="str">
            <v/>
          </cell>
        </row>
        <row r="8008">
          <cell r="S8008" t="str">
            <v/>
          </cell>
        </row>
        <row r="8009">
          <cell r="S8009" t="str">
            <v/>
          </cell>
        </row>
        <row r="8010">
          <cell r="S8010" t="str">
            <v/>
          </cell>
        </row>
        <row r="8011">
          <cell r="S8011" t="str">
            <v/>
          </cell>
        </row>
        <row r="8012">
          <cell r="S8012" t="str">
            <v/>
          </cell>
        </row>
        <row r="8013">
          <cell r="S8013" t="str">
            <v/>
          </cell>
        </row>
        <row r="8014">
          <cell r="S8014" t="str">
            <v/>
          </cell>
        </row>
        <row r="8015">
          <cell r="S8015" t="str">
            <v/>
          </cell>
        </row>
        <row r="8016">
          <cell r="S8016" t="str">
            <v/>
          </cell>
        </row>
        <row r="8017">
          <cell r="S8017" t="str">
            <v/>
          </cell>
        </row>
        <row r="8018">
          <cell r="S8018" t="str">
            <v/>
          </cell>
        </row>
        <row r="8019">
          <cell r="S8019" t="str">
            <v/>
          </cell>
        </row>
        <row r="8020">
          <cell r="S8020" t="str">
            <v/>
          </cell>
        </row>
        <row r="8021">
          <cell r="S8021" t="str">
            <v/>
          </cell>
        </row>
        <row r="8022">
          <cell r="S8022" t="str">
            <v/>
          </cell>
        </row>
        <row r="8023">
          <cell r="S8023" t="str">
            <v/>
          </cell>
        </row>
        <row r="8024">
          <cell r="S8024" t="str">
            <v/>
          </cell>
        </row>
        <row r="8025">
          <cell r="S8025" t="str">
            <v/>
          </cell>
        </row>
        <row r="8026">
          <cell r="S8026" t="str">
            <v/>
          </cell>
        </row>
        <row r="8027">
          <cell r="S8027" t="str">
            <v/>
          </cell>
        </row>
        <row r="8028">
          <cell r="S8028" t="str">
            <v/>
          </cell>
        </row>
        <row r="8029">
          <cell r="S8029" t="str">
            <v/>
          </cell>
        </row>
        <row r="8030">
          <cell r="S8030" t="str">
            <v/>
          </cell>
        </row>
        <row r="8031">
          <cell r="S8031" t="str">
            <v/>
          </cell>
        </row>
        <row r="8032">
          <cell r="S8032" t="str">
            <v/>
          </cell>
        </row>
        <row r="8033">
          <cell r="S8033" t="str">
            <v/>
          </cell>
        </row>
        <row r="8034">
          <cell r="S8034" t="str">
            <v/>
          </cell>
        </row>
        <row r="8035">
          <cell r="S8035" t="str">
            <v/>
          </cell>
        </row>
        <row r="8036">
          <cell r="S8036" t="str">
            <v/>
          </cell>
        </row>
        <row r="8037">
          <cell r="S8037" t="str">
            <v/>
          </cell>
        </row>
        <row r="8038">
          <cell r="S8038" t="str">
            <v/>
          </cell>
        </row>
        <row r="8039">
          <cell r="S8039" t="str">
            <v/>
          </cell>
        </row>
        <row r="8040">
          <cell r="S8040" t="str">
            <v/>
          </cell>
        </row>
        <row r="8041">
          <cell r="S8041" t="str">
            <v/>
          </cell>
        </row>
        <row r="8042">
          <cell r="S8042" t="str">
            <v/>
          </cell>
        </row>
        <row r="8043">
          <cell r="S8043" t="str">
            <v/>
          </cell>
        </row>
        <row r="8044">
          <cell r="S8044" t="str">
            <v/>
          </cell>
        </row>
        <row r="8045">
          <cell r="S8045" t="str">
            <v/>
          </cell>
        </row>
        <row r="8046">
          <cell r="S8046" t="str">
            <v/>
          </cell>
        </row>
        <row r="8047">
          <cell r="S8047" t="str">
            <v/>
          </cell>
        </row>
        <row r="8048">
          <cell r="S8048" t="str">
            <v/>
          </cell>
        </row>
        <row r="8049">
          <cell r="S8049" t="str">
            <v/>
          </cell>
        </row>
        <row r="8050">
          <cell r="S8050" t="str">
            <v/>
          </cell>
        </row>
        <row r="8051">
          <cell r="S8051" t="str">
            <v/>
          </cell>
        </row>
        <row r="8052">
          <cell r="S8052" t="str">
            <v/>
          </cell>
        </row>
        <row r="8053">
          <cell r="S8053" t="str">
            <v/>
          </cell>
        </row>
        <row r="8054">
          <cell r="S8054" t="str">
            <v/>
          </cell>
        </row>
        <row r="8055">
          <cell r="S8055" t="str">
            <v/>
          </cell>
        </row>
        <row r="8056">
          <cell r="S8056" t="str">
            <v/>
          </cell>
        </row>
        <row r="8057">
          <cell r="S8057" t="str">
            <v/>
          </cell>
        </row>
        <row r="8058">
          <cell r="S8058" t="str">
            <v/>
          </cell>
        </row>
        <row r="8059">
          <cell r="S8059" t="str">
            <v/>
          </cell>
        </row>
        <row r="8060">
          <cell r="S8060" t="str">
            <v/>
          </cell>
        </row>
        <row r="8061">
          <cell r="S8061" t="str">
            <v/>
          </cell>
        </row>
        <row r="8062">
          <cell r="S8062" t="str">
            <v/>
          </cell>
        </row>
        <row r="8063">
          <cell r="S8063" t="str">
            <v/>
          </cell>
        </row>
        <row r="8064">
          <cell r="S8064" t="str">
            <v/>
          </cell>
        </row>
        <row r="8065">
          <cell r="S8065" t="str">
            <v/>
          </cell>
        </row>
        <row r="8066">
          <cell r="S8066" t="str">
            <v/>
          </cell>
        </row>
        <row r="8067">
          <cell r="S8067" t="str">
            <v/>
          </cell>
        </row>
        <row r="8068">
          <cell r="S8068" t="str">
            <v/>
          </cell>
        </row>
        <row r="8069">
          <cell r="S8069" t="str">
            <v/>
          </cell>
        </row>
        <row r="8070">
          <cell r="S8070" t="str">
            <v/>
          </cell>
        </row>
        <row r="8071">
          <cell r="S8071" t="str">
            <v/>
          </cell>
        </row>
        <row r="8072">
          <cell r="S8072" t="str">
            <v/>
          </cell>
        </row>
        <row r="8073">
          <cell r="S8073" t="str">
            <v/>
          </cell>
        </row>
        <row r="8074">
          <cell r="S8074" t="str">
            <v/>
          </cell>
        </row>
        <row r="8075">
          <cell r="S8075" t="str">
            <v/>
          </cell>
        </row>
        <row r="8076">
          <cell r="S8076" t="str">
            <v/>
          </cell>
        </row>
        <row r="8077">
          <cell r="S8077" t="str">
            <v/>
          </cell>
        </row>
        <row r="8078">
          <cell r="S8078" t="str">
            <v/>
          </cell>
        </row>
        <row r="8079">
          <cell r="S8079" t="str">
            <v/>
          </cell>
        </row>
        <row r="8080">
          <cell r="S8080" t="str">
            <v/>
          </cell>
        </row>
        <row r="8081">
          <cell r="S8081" t="str">
            <v/>
          </cell>
        </row>
        <row r="8082">
          <cell r="S8082" t="str">
            <v/>
          </cell>
        </row>
        <row r="8083">
          <cell r="S8083" t="str">
            <v/>
          </cell>
        </row>
        <row r="8084">
          <cell r="S8084" t="str">
            <v/>
          </cell>
        </row>
        <row r="8085">
          <cell r="S8085" t="str">
            <v/>
          </cell>
        </row>
        <row r="8086">
          <cell r="S8086" t="str">
            <v/>
          </cell>
        </row>
        <row r="8087">
          <cell r="S8087" t="str">
            <v/>
          </cell>
        </row>
        <row r="8088">
          <cell r="S8088" t="str">
            <v/>
          </cell>
        </row>
        <row r="8089">
          <cell r="S8089" t="str">
            <v/>
          </cell>
        </row>
        <row r="8090">
          <cell r="S8090" t="str">
            <v/>
          </cell>
        </row>
        <row r="8091">
          <cell r="S8091" t="str">
            <v/>
          </cell>
        </row>
        <row r="8092">
          <cell r="S8092" t="str">
            <v/>
          </cell>
        </row>
        <row r="8093">
          <cell r="S8093" t="str">
            <v/>
          </cell>
        </row>
        <row r="8094">
          <cell r="S8094" t="str">
            <v/>
          </cell>
        </row>
        <row r="8095">
          <cell r="S8095" t="str">
            <v/>
          </cell>
        </row>
        <row r="8096">
          <cell r="S8096" t="str">
            <v/>
          </cell>
        </row>
        <row r="8097">
          <cell r="S8097" t="str">
            <v/>
          </cell>
        </row>
        <row r="8098">
          <cell r="S8098" t="str">
            <v/>
          </cell>
        </row>
        <row r="8099">
          <cell r="S8099" t="str">
            <v/>
          </cell>
        </row>
        <row r="8100">
          <cell r="S8100" t="str">
            <v/>
          </cell>
        </row>
        <row r="8101">
          <cell r="S8101" t="str">
            <v/>
          </cell>
        </row>
        <row r="8102">
          <cell r="S8102" t="str">
            <v/>
          </cell>
        </row>
        <row r="8103">
          <cell r="S8103" t="str">
            <v/>
          </cell>
        </row>
        <row r="8104">
          <cell r="S8104" t="str">
            <v/>
          </cell>
        </row>
        <row r="8105">
          <cell r="S8105" t="str">
            <v/>
          </cell>
        </row>
        <row r="8106">
          <cell r="S8106" t="str">
            <v/>
          </cell>
        </row>
        <row r="8107">
          <cell r="S8107" t="str">
            <v/>
          </cell>
        </row>
        <row r="8108">
          <cell r="S8108" t="str">
            <v/>
          </cell>
        </row>
        <row r="8109">
          <cell r="S8109" t="str">
            <v/>
          </cell>
        </row>
        <row r="8110">
          <cell r="S8110" t="str">
            <v/>
          </cell>
        </row>
        <row r="8111">
          <cell r="S8111" t="str">
            <v/>
          </cell>
        </row>
        <row r="8112">
          <cell r="S8112" t="str">
            <v/>
          </cell>
        </row>
        <row r="8113">
          <cell r="S8113" t="str">
            <v/>
          </cell>
        </row>
        <row r="8114">
          <cell r="S8114" t="str">
            <v/>
          </cell>
        </row>
        <row r="8115">
          <cell r="S8115" t="str">
            <v/>
          </cell>
        </row>
        <row r="8116">
          <cell r="S8116" t="str">
            <v/>
          </cell>
        </row>
        <row r="8117">
          <cell r="S8117" t="str">
            <v/>
          </cell>
        </row>
        <row r="8118">
          <cell r="S8118" t="str">
            <v/>
          </cell>
        </row>
        <row r="8119">
          <cell r="S8119" t="str">
            <v/>
          </cell>
        </row>
        <row r="8120">
          <cell r="S8120" t="str">
            <v/>
          </cell>
        </row>
        <row r="8121">
          <cell r="S8121" t="str">
            <v/>
          </cell>
        </row>
        <row r="8122">
          <cell r="S8122" t="str">
            <v/>
          </cell>
        </row>
        <row r="8123">
          <cell r="S8123" t="str">
            <v/>
          </cell>
        </row>
        <row r="8124">
          <cell r="S8124" t="str">
            <v/>
          </cell>
        </row>
        <row r="8125">
          <cell r="S8125" t="str">
            <v/>
          </cell>
        </row>
        <row r="8126">
          <cell r="S8126" t="str">
            <v/>
          </cell>
        </row>
        <row r="8127">
          <cell r="S8127" t="str">
            <v/>
          </cell>
        </row>
        <row r="8128">
          <cell r="S8128" t="str">
            <v/>
          </cell>
        </row>
        <row r="8129">
          <cell r="S8129" t="str">
            <v/>
          </cell>
        </row>
        <row r="8130">
          <cell r="S8130" t="str">
            <v/>
          </cell>
        </row>
        <row r="8131">
          <cell r="S8131" t="str">
            <v/>
          </cell>
        </row>
        <row r="8132">
          <cell r="S8132" t="str">
            <v/>
          </cell>
        </row>
        <row r="8133">
          <cell r="S8133" t="str">
            <v/>
          </cell>
        </row>
        <row r="8134">
          <cell r="S8134" t="str">
            <v/>
          </cell>
        </row>
        <row r="8135">
          <cell r="S8135" t="str">
            <v/>
          </cell>
        </row>
        <row r="8136">
          <cell r="S8136" t="str">
            <v/>
          </cell>
        </row>
        <row r="8137">
          <cell r="S8137" t="str">
            <v/>
          </cell>
        </row>
        <row r="8138">
          <cell r="S8138" t="str">
            <v/>
          </cell>
        </row>
        <row r="8139">
          <cell r="S8139" t="str">
            <v/>
          </cell>
        </row>
        <row r="8140">
          <cell r="S8140" t="str">
            <v/>
          </cell>
        </row>
        <row r="8141">
          <cell r="S8141" t="str">
            <v/>
          </cell>
        </row>
        <row r="8142">
          <cell r="S8142" t="str">
            <v/>
          </cell>
        </row>
        <row r="8143">
          <cell r="S8143" t="str">
            <v/>
          </cell>
        </row>
        <row r="8144">
          <cell r="S8144" t="str">
            <v/>
          </cell>
        </row>
        <row r="8145">
          <cell r="S8145" t="str">
            <v/>
          </cell>
        </row>
        <row r="8146">
          <cell r="S8146" t="str">
            <v/>
          </cell>
        </row>
        <row r="8147">
          <cell r="S8147" t="str">
            <v/>
          </cell>
        </row>
        <row r="8148">
          <cell r="S8148" t="str">
            <v/>
          </cell>
        </row>
        <row r="8149">
          <cell r="S8149" t="str">
            <v/>
          </cell>
        </row>
        <row r="8150">
          <cell r="S8150" t="str">
            <v/>
          </cell>
        </row>
        <row r="8151">
          <cell r="S8151" t="str">
            <v/>
          </cell>
        </row>
        <row r="8152">
          <cell r="S8152" t="str">
            <v/>
          </cell>
        </row>
        <row r="8153">
          <cell r="S8153" t="str">
            <v/>
          </cell>
        </row>
        <row r="8154">
          <cell r="S8154" t="str">
            <v/>
          </cell>
        </row>
        <row r="8155">
          <cell r="S8155" t="str">
            <v/>
          </cell>
        </row>
        <row r="8156">
          <cell r="S8156" t="str">
            <v/>
          </cell>
        </row>
        <row r="8157">
          <cell r="S8157" t="str">
            <v/>
          </cell>
        </row>
        <row r="8158">
          <cell r="S8158" t="str">
            <v/>
          </cell>
        </row>
        <row r="8159">
          <cell r="S8159" t="str">
            <v/>
          </cell>
        </row>
        <row r="8160">
          <cell r="S8160" t="str">
            <v/>
          </cell>
        </row>
        <row r="8161">
          <cell r="S8161" t="str">
            <v/>
          </cell>
        </row>
        <row r="8162">
          <cell r="S8162" t="str">
            <v/>
          </cell>
        </row>
        <row r="8163">
          <cell r="S8163" t="str">
            <v/>
          </cell>
        </row>
        <row r="8164">
          <cell r="S8164" t="str">
            <v/>
          </cell>
        </row>
        <row r="8165">
          <cell r="S8165" t="str">
            <v/>
          </cell>
        </row>
        <row r="8166">
          <cell r="S8166" t="str">
            <v/>
          </cell>
        </row>
        <row r="8167">
          <cell r="S8167" t="str">
            <v/>
          </cell>
        </row>
        <row r="8168">
          <cell r="S8168" t="str">
            <v/>
          </cell>
        </row>
        <row r="8169">
          <cell r="S8169" t="str">
            <v/>
          </cell>
        </row>
        <row r="8170">
          <cell r="S8170" t="str">
            <v/>
          </cell>
        </row>
        <row r="8171">
          <cell r="S8171" t="str">
            <v/>
          </cell>
        </row>
        <row r="8172">
          <cell r="S8172" t="str">
            <v/>
          </cell>
        </row>
        <row r="8173">
          <cell r="S8173" t="str">
            <v/>
          </cell>
        </row>
        <row r="8174">
          <cell r="S8174" t="str">
            <v/>
          </cell>
        </row>
        <row r="8175">
          <cell r="S8175" t="str">
            <v/>
          </cell>
        </row>
        <row r="8176">
          <cell r="S8176" t="str">
            <v/>
          </cell>
        </row>
        <row r="8177">
          <cell r="S8177" t="str">
            <v/>
          </cell>
        </row>
        <row r="8178">
          <cell r="S8178" t="str">
            <v/>
          </cell>
        </row>
        <row r="8179">
          <cell r="S8179" t="str">
            <v/>
          </cell>
        </row>
        <row r="8180">
          <cell r="S8180" t="str">
            <v/>
          </cell>
        </row>
        <row r="8181">
          <cell r="S8181" t="str">
            <v/>
          </cell>
        </row>
        <row r="8182">
          <cell r="S8182" t="str">
            <v/>
          </cell>
        </row>
        <row r="8183">
          <cell r="S8183" t="str">
            <v/>
          </cell>
        </row>
        <row r="8184">
          <cell r="S8184" t="str">
            <v/>
          </cell>
        </row>
        <row r="8185">
          <cell r="S8185" t="str">
            <v/>
          </cell>
        </row>
        <row r="8186">
          <cell r="S8186" t="str">
            <v/>
          </cell>
        </row>
        <row r="8187">
          <cell r="S8187" t="str">
            <v/>
          </cell>
        </row>
        <row r="8188">
          <cell r="S8188" t="str">
            <v/>
          </cell>
        </row>
        <row r="8189">
          <cell r="S8189" t="str">
            <v/>
          </cell>
        </row>
        <row r="8190">
          <cell r="S8190" t="str">
            <v/>
          </cell>
        </row>
        <row r="8191">
          <cell r="S8191" t="str">
            <v/>
          </cell>
        </row>
        <row r="8192">
          <cell r="S8192" t="str">
            <v/>
          </cell>
        </row>
        <row r="8193">
          <cell r="S8193" t="str">
            <v/>
          </cell>
        </row>
        <row r="8194">
          <cell r="S8194" t="str">
            <v/>
          </cell>
        </row>
        <row r="8195">
          <cell r="S8195" t="str">
            <v/>
          </cell>
        </row>
        <row r="8196">
          <cell r="S8196" t="str">
            <v/>
          </cell>
        </row>
        <row r="8197">
          <cell r="S8197" t="str">
            <v/>
          </cell>
        </row>
        <row r="8198">
          <cell r="S8198" t="str">
            <v/>
          </cell>
        </row>
        <row r="8199">
          <cell r="S8199" t="str">
            <v/>
          </cell>
        </row>
        <row r="8200">
          <cell r="S8200" t="str">
            <v/>
          </cell>
        </row>
        <row r="8201">
          <cell r="S8201" t="str">
            <v/>
          </cell>
        </row>
        <row r="8202">
          <cell r="S8202" t="str">
            <v/>
          </cell>
        </row>
        <row r="8203">
          <cell r="S8203" t="str">
            <v/>
          </cell>
        </row>
        <row r="8204">
          <cell r="S8204" t="str">
            <v/>
          </cell>
        </row>
        <row r="8205">
          <cell r="S8205" t="str">
            <v/>
          </cell>
        </row>
        <row r="8206">
          <cell r="S8206" t="str">
            <v/>
          </cell>
        </row>
        <row r="8207">
          <cell r="S8207" t="str">
            <v/>
          </cell>
        </row>
        <row r="8208">
          <cell r="S8208" t="str">
            <v/>
          </cell>
        </row>
        <row r="8209">
          <cell r="S8209" t="str">
            <v/>
          </cell>
        </row>
        <row r="8210">
          <cell r="S8210" t="str">
            <v/>
          </cell>
        </row>
        <row r="8211">
          <cell r="S8211" t="str">
            <v/>
          </cell>
        </row>
        <row r="8212">
          <cell r="S8212" t="str">
            <v/>
          </cell>
        </row>
        <row r="8213">
          <cell r="S8213" t="str">
            <v/>
          </cell>
        </row>
        <row r="8214">
          <cell r="S8214" t="str">
            <v/>
          </cell>
        </row>
        <row r="8215">
          <cell r="S8215" t="str">
            <v/>
          </cell>
        </row>
        <row r="8216">
          <cell r="S8216" t="str">
            <v/>
          </cell>
        </row>
        <row r="8217">
          <cell r="S8217" t="str">
            <v/>
          </cell>
        </row>
        <row r="8218">
          <cell r="S8218" t="str">
            <v/>
          </cell>
        </row>
        <row r="8219">
          <cell r="S8219" t="str">
            <v/>
          </cell>
        </row>
        <row r="8220">
          <cell r="S8220" t="str">
            <v/>
          </cell>
        </row>
        <row r="8221">
          <cell r="S8221" t="str">
            <v/>
          </cell>
        </row>
        <row r="8222">
          <cell r="S8222" t="str">
            <v/>
          </cell>
        </row>
        <row r="8223">
          <cell r="S8223" t="str">
            <v/>
          </cell>
        </row>
        <row r="8224">
          <cell r="S8224" t="str">
            <v/>
          </cell>
        </row>
        <row r="8225">
          <cell r="S8225" t="str">
            <v/>
          </cell>
        </row>
        <row r="8226">
          <cell r="S8226" t="str">
            <v/>
          </cell>
        </row>
        <row r="8227">
          <cell r="S8227" t="str">
            <v/>
          </cell>
        </row>
        <row r="8228">
          <cell r="S8228" t="str">
            <v/>
          </cell>
        </row>
        <row r="8229">
          <cell r="S8229" t="str">
            <v/>
          </cell>
        </row>
        <row r="8230">
          <cell r="S8230" t="str">
            <v/>
          </cell>
        </row>
        <row r="8231">
          <cell r="S8231" t="str">
            <v/>
          </cell>
        </row>
        <row r="8232">
          <cell r="S8232" t="str">
            <v/>
          </cell>
        </row>
        <row r="8233">
          <cell r="S8233" t="str">
            <v/>
          </cell>
        </row>
        <row r="8234">
          <cell r="S8234" t="str">
            <v/>
          </cell>
        </row>
        <row r="8235">
          <cell r="S8235" t="str">
            <v/>
          </cell>
        </row>
        <row r="8236">
          <cell r="S8236" t="str">
            <v/>
          </cell>
        </row>
        <row r="8237">
          <cell r="S8237" t="str">
            <v/>
          </cell>
        </row>
        <row r="8238">
          <cell r="S8238" t="str">
            <v/>
          </cell>
        </row>
        <row r="8239">
          <cell r="S8239" t="str">
            <v/>
          </cell>
        </row>
        <row r="8240">
          <cell r="S8240" t="str">
            <v/>
          </cell>
        </row>
        <row r="8241">
          <cell r="S8241" t="str">
            <v/>
          </cell>
        </row>
        <row r="8242">
          <cell r="S8242" t="str">
            <v/>
          </cell>
        </row>
        <row r="8243">
          <cell r="S8243" t="str">
            <v/>
          </cell>
        </row>
        <row r="8244">
          <cell r="S8244" t="str">
            <v/>
          </cell>
        </row>
        <row r="8245">
          <cell r="S8245" t="str">
            <v/>
          </cell>
        </row>
        <row r="8246">
          <cell r="S8246" t="str">
            <v/>
          </cell>
        </row>
        <row r="8247">
          <cell r="S8247" t="str">
            <v/>
          </cell>
        </row>
        <row r="8248">
          <cell r="S8248" t="str">
            <v/>
          </cell>
        </row>
        <row r="8249">
          <cell r="S8249" t="str">
            <v/>
          </cell>
        </row>
        <row r="8250">
          <cell r="S8250" t="str">
            <v/>
          </cell>
        </row>
        <row r="8251">
          <cell r="S8251" t="str">
            <v/>
          </cell>
        </row>
        <row r="8252">
          <cell r="S8252" t="str">
            <v/>
          </cell>
        </row>
        <row r="8253">
          <cell r="S8253" t="str">
            <v/>
          </cell>
        </row>
        <row r="8254">
          <cell r="S8254" t="str">
            <v/>
          </cell>
        </row>
        <row r="8255">
          <cell r="S8255" t="str">
            <v/>
          </cell>
        </row>
        <row r="8256">
          <cell r="S8256" t="str">
            <v/>
          </cell>
        </row>
        <row r="8257">
          <cell r="S8257" t="str">
            <v/>
          </cell>
        </row>
        <row r="8258">
          <cell r="S8258" t="str">
            <v/>
          </cell>
        </row>
        <row r="8259">
          <cell r="S8259" t="str">
            <v/>
          </cell>
        </row>
        <row r="8260">
          <cell r="S8260" t="str">
            <v/>
          </cell>
        </row>
        <row r="8261">
          <cell r="S8261" t="str">
            <v/>
          </cell>
        </row>
        <row r="8262">
          <cell r="S8262" t="str">
            <v/>
          </cell>
        </row>
        <row r="8263">
          <cell r="S8263" t="str">
            <v/>
          </cell>
        </row>
        <row r="8264">
          <cell r="S8264" t="str">
            <v/>
          </cell>
        </row>
        <row r="8265">
          <cell r="S8265" t="str">
            <v/>
          </cell>
        </row>
        <row r="8266">
          <cell r="S8266" t="str">
            <v/>
          </cell>
        </row>
        <row r="8267">
          <cell r="S8267" t="str">
            <v/>
          </cell>
        </row>
        <row r="8268">
          <cell r="S8268" t="str">
            <v/>
          </cell>
        </row>
        <row r="8269">
          <cell r="S8269" t="str">
            <v/>
          </cell>
        </row>
        <row r="8270">
          <cell r="S8270" t="str">
            <v/>
          </cell>
        </row>
        <row r="8271">
          <cell r="S8271" t="str">
            <v/>
          </cell>
        </row>
        <row r="8272">
          <cell r="S8272" t="str">
            <v/>
          </cell>
        </row>
        <row r="8273">
          <cell r="S8273" t="str">
            <v/>
          </cell>
        </row>
        <row r="8274">
          <cell r="S8274" t="str">
            <v/>
          </cell>
        </row>
        <row r="8275">
          <cell r="S8275" t="str">
            <v/>
          </cell>
        </row>
        <row r="8276">
          <cell r="S8276" t="str">
            <v/>
          </cell>
        </row>
        <row r="8277">
          <cell r="S8277" t="str">
            <v/>
          </cell>
        </row>
        <row r="8278">
          <cell r="S8278" t="str">
            <v/>
          </cell>
        </row>
        <row r="8279">
          <cell r="S8279" t="str">
            <v/>
          </cell>
        </row>
        <row r="8280">
          <cell r="S8280" t="str">
            <v/>
          </cell>
        </row>
        <row r="8281">
          <cell r="S8281" t="str">
            <v/>
          </cell>
        </row>
        <row r="8282">
          <cell r="S8282" t="str">
            <v/>
          </cell>
        </row>
        <row r="8283">
          <cell r="S8283" t="str">
            <v/>
          </cell>
        </row>
        <row r="8284">
          <cell r="S8284" t="str">
            <v/>
          </cell>
        </row>
        <row r="8285">
          <cell r="S8285" t="str">
            <v/>
          </cell>
        </row>
        <row r="8286">
          <cell r="S8286" t="str">
            <v/>
          </cell>
        </row>
        <row r="8287">
          <cell r="S8287" t="str">
            <v/>
          </cell>
        </row>
        <row r="8288">
          <cell r="S8288" t="str">
            <v/>
          </cell>
        </row>
        <row r="8289">
          <cell r="S8289" t="str">
            <v/>
          </cell>
        </row>
        <row r="8290">
          <cell r="S8290" t="str">
            <v/>
          </cell>
        </row>
        <row r="8291">
          <cell r="S8291" t="str">
            <v/>
          </cell>
        </row>
        <row r="8292">
          <cell r="S8292" t="str">
            <v/>
          </cell>
        </row>
        <row r="8293">
          <cell r="S8293" t="str">
            <v/>
          </cell>
        </row>
        <row r="8294">
          <cell r="S8294" t="str">
            <v/>
          </cell>
        </row>
        <row r="8295">
          <cell r="S8295" t="str">
            <v/>
          </cell>
        </row>
        <row r="8296">
          <cell r="S8296" t="str">
            <v/>
          </cell>
        </row>
        <row r="8297">
          <cell r="S8297" t="str">
            <v/>
          </cell>
        </row>
        <row r="8298">
          <cell r="S8298" t="str">
            <v/>
          </cell>
        </row>
        <row r="8299">
          <cell r="S8299" t="str">
            <v/>
          </cell>
        </row>
        <row r="8300">
          <cell r="S8300" t="str">
            <v/>
          </cell>
        </row>
        <row r="8301">
          <cell r="S8301" t="str">
            <v/>
          </cell>
        </row>
        <row r="8302">
          <cell r="S8302" t="str">
            <v/>
          </cell>
        </row>
        <row r="8303">
          <cell r="S8303" t="str">
            <v/>
          </cell>
        </row>
        <row r="8304">
          <cell r="S8304" t="str">
            <v/>
          </cell>
        </row>
        <row r="8305">
          <cell r="S8305" t="str">
            <v/>
          </cell>
        </row>
        <row r="8306">
          <cell r="S8306" t="str">
            <v/>
          </cell>
        </row>
        <row r="8307">
          <cell r="S8307" t="str">
            <v/>
          </cell>
        </row>
        <row r="8308">
          <cell r="S8308" t="str">
            <v/>
          </cell>
        </row>
        <row r="8309">
          <cell r="S8309" t="str">
            <v/>
          </cell>
        </row>
        <row r="8310">
          <cell r="S8310" t="str">
            <v/>
          </cell>
        </row>
        <row r="8311">
          <cell r="S8311" t="str">
            <v/>
          </cell>
        </row>
        <row r="8312">
          <cell r="S8312" t="str">
            <v/>
          </cell>
        </row>
        <row r="8313">
          <cell r="S8313" t="str">
            <v/>
          </cell>
        </row>
        <row r="8314">
          <cell r="S8314" t="str">
            <v/>
          </cell>
        </row>
        <row r="8315">
          <cell r="S8315" t="str">
            <v/>
          </cell>
        </row>
        <row r="8316">
          <cell r="S8316" t="str">
            <v/>
          </cell>
        </row>
        <row r="8317">
          <cell r="S8317" t="str">
            <v/>
          </cell>
        </row>
        <row r="8318">
          <cell r="S8318" t="str">
            <v/>
          </cell>
        </row>
        <row r="8319">
          <cell r="S8319" t="str">
            <v/>
          </cell>
        </row>
        <row r="8320">
          <cell r="S8320" t="str">
            <v/>
          </cell>
        </row>
        <row r="8321">
          <cell r="S8321" t="str">
            <v/>
          </cell>
        </row>
        <row r="8322">
          <cell r="S8322" t="str">
            <v/>
          </cell>
        </row>
        <row r="8323">
          <cell r="S8323" t="str">
            <v/>
          </cell>
        </row>
        <row r="8324">
          <cell r="S8324" t="str">
            <v/>
          </cell>
        </row>
        <row r="8325">
          <cell r="S8325" t="str">
            <v/>
          </cell>
        </row>
        <row r="8326">
          <cell r="S8326" t="str">
            <v/>
          </cell>
        </row>
        <row r="8327">
          <cell r="S8327" t="str">
            <v/>
          </cell>
        </row>
        <row r="8328">
          <cell r="S8328" t="str">
            <v/>
          </cell>
        </row>
        <row r="8329">
          <cell r="S8329" t="str">
            <v/>
          </cell>
        </row>
        <row r="8330">
          <cell r="S8330" t="str">
            <v/>
          </cell>
        </row>
        <row r="8331">
          <cell r="S8331" t="str">
            <v/>
          </cell>
        </row>
        <row r="8332">
          <cell r="S8332" t="str">
            <v/>
          </cell>
        </row>
        <row r="8333">
          <cell r="S8333" t="str">
            <v/>
          </cell>
        </row>
        <row r="8334">
          <cell r="S8334" t="str">
            <v/>
          </cell>
        </row>
        <row r="8335">
          <cell r="S8335" t="str">
            <v/>
          </cell>
        </row>
        <row r="8336">
          <cell r="S8336" t="str">
            <v/>
          </cell>
        </row>
        <row r="8337">
          <cell r="S8337" t="str">
            <v/>
          </cell>
        </row>
        <row r="8338">
          <cell r="S8338" t="str">
            <v/>
          </cell>
        </row>
        <row r="8339">
          <cell r="S8339" t="str">
            <v/>
          </cell>
        </row>
        <row r="8340">
          <cell r="S8340" t="str">
            <v/>
          </cell>
        </row>
        <row r="8341">
          <cell r="S8341" t="str">
            <v/>
          </cell>
        </row>
        <row r="8342">
          <cell r="S8342" t="str">
            <v/>
          </cell>
        </row>
        <row r="8343">
          <cell r="S8343" t="str">
            <v/>
          </cell>
        </row>
        <row r="8344">
          <cell r="S8344" t="str">
            <v/>
          </cell>
        </row>
        <row r="8345">
          <cell r="S8345" t="str">
            <v/>
          </cell>
        </row>
        <row r="8346">
          <cell r="S8346" t="str">
            <v/>
          </cell>
        </row>
        <row r="8347">
          <cell r="S8347" t="str">
            <v/>
          </cell>
        </row>
        <row r="8348">
          <cell r="S8348" t="str">
            <v/>
          </cell>
        </row>
        <row r="8349">
          <cell r="S8349" t="str">
            <v/>
          </cell>
        </row>
        <row r="8350">
          <cell r="S8350" t="str">
            <v/>
          </cell>
        </row>
        <row r="8351">
          <cell r="S8351" t="str">
            <v/>
          </cell>
        </row>
        <row r="8352">
          <cell r="S8352" t="str">
            <v/>
          </cell>
        </row>
        <row r="8353">
          <cell r="S8353" t="str">
            <v/>
          </cell>
        </row>
        <row r="8354">
          <cell r="S8354" t="str">
            <v/>
          </cell>
        </row>
        <row r="8355">
          <cell r="S8355" t="str">
            <v/>
          </cell>
        </row>
        <row r="8356">
          <cell r="S8356" t="str">
            <v/>
          </cell>
        </row>
        <row r="8357">
          <cell r="S8357" t="str">
            <v/>
          </cell>
        </row>
        <row r="8358">
          <cell r="S8358" t="str">
            <v/>
          </cell>
        </row>
        <row r="8359">
          <cell r="S8359" t="str">
            <v/>
          </cell>
        </row>
        <row r="8360">
          <cell r="S8360" t="str">
            <v/>
          </cell>
        </row>
        <row r="8361">
          <cell r="S8361" t="str">
            <v/>
          </cell>
        </row>
        <row r="8362">
          <cell r="S8362" t="str">
            <v/>
          </cell>
        </row>
        <row r="8363">
          <cell r="S8363" t="str">
            <v/>
          </cell>
        </row>
        <row r="8364">
          <cell r="S8364" t="str">
            <v/>
          </cell>
        </row>
        <row r="8365">
          <cell r="S8365" t="str">
            <v/>
          </cell>
        </row>
        <row r="8366">
          <cell r="S8366" t="str">
            <v/>
          </cell>
        </row>
        <row r="8367">
          <cell r="S8367" t="str">
            <v/>
          </cell>
        </row>
        <row r="8368">
          <cell r="S8368" t="str">
            <v/>
          </cell>
        </row>
        <row r="8369">
          <cell r="S8369" t="str">
            <v/>
          </cell>
        </row>
        <row r="8370">
          <cell r="S8370" t="str">
            <v/>
          </cell>
        </row>
        <row r="8371">
          <cell r="S8371" t="str">
            <v/>
          </cell>
        </row>
        <row r="8372">
          <cell r="S8372" t="str">
            <v/>
          </cell>
        </row>
        <row r="8373">
          <cell r="S8373" t="str">
            <v/>
          </cell>
        </row>
        <row r="8374">
          <cell r="S8374" t="str">
            <v/>
          </cell>
        </row>
        <row r="8375">
          <cell r="S8375" t="str">
            <v/>
          </cell>
        </row>
        <row r="8376">
          <cell r="S8376" t="str">
            <v/>
          </cell>
        </row>
        <row r="8377">
          <cell r="S8377" t="str">
            <v/>
          </cell>
        </row>
        <row r="8378">
          <cell r="S8378" t="str">
            <v/>
          </cell>
        </row>
        <row r="8379">
          <cell r="S8379" t="str">
            <v/>
          </cell>
        </row>
        <row r="8380">
          <cell r="S8380" t="str">
            <v/>
          </cell>
        </row>
        <row r="8381">
          <cell r="S8381" t="str">
            <v/>
          </cell>
        </row>
        <row r="8382">
          <cell r="S8382" t="str">
            <v/>
          </cell>
        </row>
        <row r="8383">
          <cell r="S8383" t="str">
            <v/>
          </cell>
        </row>
        <row r="8384">
          <cell r="S8384" t="str">
            <v/>
          </cell>
        </row>
        <row r="8385">
          <cell r="S8385" t="str">
            <v/>
          </cell>
        </row>
        <row r="8386">
          <cell r="S8386" t="str">
            <v/>
          </cell>
        </row>
        <row r="8387">
          <cell r="S8387" t="str">
            <v/>
          </cell>
        </row>
        <row r="8388">
          <cell r="S8388" t="str">
            <v/>
          </cell>
        </row>
        <row r="8389">
          <cell r="S8389" t="str">
            <v/>
          </cell>
        </row>
        <row r="8390">
          <cell r="S8390" t="str">
            <v/>
          </cell>
        </row>
        <row r="8391">
          <cell r="S8391" t="str">
            <v/>
          </cell>
        </row>
        <row r="8392">
          <cell r="S8392" t="str">
            <v/>
          </cell>
        </row>
        <row r="8393">
          <cell r="S8393" t="str">
            <v/>
          </cell>
        </row>
        <row r="8394">
          <cell r="S8394" t="str">
            <v/>
          </cell>
        </row>
        <row r="8395">
          <cell r="S8395" t="str">
            <v/>
          </cell>
        </row>
        <row r="8396">
          <cell r="S8396" t="str">
            <v/>
          </cell>
        </row>
        <row r="8397">
          <cell r="S8397" t="str">
            <v/>
          </cell>
        </row>
        <row r="8398">
          <cell r="S8398" t="str">
            <v/>
          </cell>
        </row>
        <row r="8399">
          <cell r="S8399" t="str">
            <v/>
          </cell>
        </row>
        <row r="8400">
          <cell r="S8400" t="str">
            <v/>
          </cell>
        </row>
        <row r="8401">
          <cell r="S8401" t="str">
            <v/>
          </cell>
        </row>
        <row r="8402">
          <cell r="S8402" t="str">
            <v/>
          </cell>
        </row>
        <row r="8403">
          <cell r="S8403" t="str">
            <v/>
          </cell>
        </row>
        <row r="8404">
          <cell r="S8404" t="str">
            <v/>
          </cell>
        </row>
        <row r="8405">
          <cell r="S8405" t="str">
            <v/>
          </cell>
        </row>
        <row r="8406">
          <cell r="S8406" t="str">
            <v/>
          </cell>
        </row>
        <row r="8407">
          <cell r="S8407" t="str">
            <v/>
          </cell>
        </row>
        <row r="8408">
          <cell r="S8408" t="str">
            <v/>
          </cell>
        </row>
        <row r="8409">
          <cell r="S8409" t="str">
            <v/>
          </cell>
        </row>
        <row r="8410">
          <cell r="S8410" t="str">
            <v/>
          </cell>
        </row>
        <row r="8411">
          <cell r="S8411" t="str">
            <v/>
          </cell>
        </row>
        <row r="8412">
          <cell r="S8412" t="str">
            <v/>
          </cell>
        </row>
        <row r="8413">
          <cell r="S8413" t="str">
            <v/>
          </cell>
        </row>
        <row r="8414">
          <cell r="S8414" t="str">
            <v/>
          </cell>
        </row>
        <row r="8415">
          <cell r="S8415" t="str">
            <v/>
          </cell>
        </row>
        <row r="8416">
          <cell r="S8416" t="str">
            <v/>
          </cell>
        </row>
        <row r="8417">
          <cell r="S8417" t="str">
            <v/>
          </cell>
        </row>
        <row r="8418">
          <cell r="S8418" t="str">
            <v/>
          </cell>
        </row>
        <row r="8419">
          <cell r="S8419" t="str">
            <v/>
          </cell>
        </row>
        <row r="8420">
          <cell r="S8420" t="str">
            <v/>
          </cell>
        </row>
        <row r="8421">
          <cell r="S8421" t="str">
            <v/>
          </cell>
        </row>
        <row r="8422">
          <cell r="S8422" t="str">
            <v/>
          </cell>
        </row>
        <row r="8423">
          <cell r="S8423" t="str">
            <v/>
          </cell>
        </row>
        <row r="8424">
          <cell r="S8424" t="str">
            <v/>
          </cell>
        </row>
        <row r="8425">
          <cell r="S8425" t="str">
            <v/>
          </cell>
        </row>
        <row r="8426">
          <cell r="S8426" t="str">
            <v/>
          </cell>
        </row>
        <row r="8427">
          <cell r="S8427" t="str">
            <v/>
          </cell>
        </row>
        <row r="8428">
          <cell r="S8428" t="str">
            <v/>
          </cell>
        </row>
        <row r="8429">
          <cell r="S8429" t="str">
            <v/>
          </cell>
        </row>
        <row r="8430">
          <cell r="S8430" t="str">
            <v/>
          </cell>
        </row>
        <row r="8431">
          <cell r="S8431" t="str">
            <v/>
          </cell>
        </row>
        <row r="8432">
          <cell r="S8432" t="str">
            <v/>
          </cell>
        </row>
        <row r="8433">
          <cell r="S8433" t="str">
            <v/>
          </cell>
        </row>
        <row r="8434">
          <cell r="S8434" t="str">
            <v/>
          </cell>
        </row>
        <row r="8435">
          <cell r="S8435" t="str">
            <v/>
          </cell>
        </row>
        <row r="8436">
          <cell r="S8436" t="str">
            <v/>
          </cell>
        </row>
        <row r="8437">
          <cell r="S8437" t="str">
            <v/>
          </cell>
        </row>
        <row r="8438">
          <cell r="S8438" t="str">
            <v/>
          </cell>
        </row>
        <row r="8439">
          <cell r="S8439" t="str">
            <v/>
          </cell>
        </row>
        <row r="8440">
          <cell r="S8440" t="str">
            <v/>
          </cell>
        </row>
        <row r="8441">
          <cell r="S8441" t="str">
            <v/>
          </cell>
        </row>
        <row r="8442">
          <cell r="S8442" t="str">
            <v/>
          </cell>
        </row>
        <row r="8443">
          <cell r="S8443" t="str">
            <v/>
          </cell>
        </row>
        <row r="8444">
          <cell r="S8444" t="str">
            <v/>
          </cell>
        </row>
        <row r="8445">
          <cell r="S8445" t="str">
            <v/>
          </cell>
        </row>
        <row r="8446">
          <cell r="S8446" t="str">
            <v/>
          </cell>
        </row>
        <row r="8447">
          <cell r="S8447" t="str">
            <v/>
          </cell>
        </row>
        <row r="8448">
          <cell r="S8448" t="str">
            <v/>
          </cell>
        </row>
        <row r="8449">
          <cell r="S8449" t="str">
            <v/>
          </cell>
        </row>
        <row r="8450">
          <cell r="S8450" t="str">
            <v/>
          </cell>
        </row>
        <row r="8451">
          <cell r="S8451" t="str">
            <v/>
          </cell>
        </row>
        <row r="8452">
          <cell r="S8452" t="str">
            <v/>
          </cell>
        </row>
        <row r="8453">
          <cell r="S8453" t="str">
            <v/>
          </cell>
        </row>
        <row r="8454">
          <cell r="S8454" t="str">
            <v/>
          </cell>
        </row>
        <row r="8455">
          <cell r="S8455" t="str">
            <v/>
          </cell>
        </row>
        <row r="8456">
          <cell r="S8456" t="str">
            <v/>
          </cell>
        </row>
        <row r="8457">
          <cell r="S8457" t="str">
            <v/>
          </cell>
        </row>
        <row r="8458">
          <cell r="S8458" t="str">
            <v/>
          </cell>
        </row>
        <row r="8459">
          <cell r="S8459" t="str">
            <v/>
          </cell>
        </row>
        <row r="8460">
          <cell r="S8460" t="str">
            <v/>
          </cell>
        </row>
        <row r="8461">
          <cell r="S8461" t="str">
            <v/>
          </cell>
        </row>
        <row r="8462">
          <cell r="S8462" t="str">
            <v/>
          </cell>
        </row>
        <row r="8463">
          <cell r="S8463" t="str">
            <v/>
          </cell>
        </row>
        <row r="8464">
          <cell r="S8464" t="str">
            <v/>
          </cell>
        </row>
        <row r="8465">
          <cell r="S8465" t="str">
            <v/>
          </cell>
        </row>
        <row r="8466">
          <cell r="S8466" t="str">
            <v/>
          </cell>
        </row>
        <row r="8467">
          <cell r="S8467" t="str">
            <v/>
          </cell>
        </row>
        <row r="8468">
          <cell r="S8468" t="str">
            <v/>
          </cell>
        </row>
        <row r="8469">
          <cell r="S8469" t="str">
            <v/>
          </cell>
        </row>
        <row r="8470">
          <cell r="S8470" t="str">
            <v/>
          </cell>
        </row>
        <row r="8471">
          <cell r="S8471" t="str">
            <v/>
          </cell>
        </row>
        <row r="8472">
          <cell r="S8472" t="str">
            <v/>
          </cell>
        </row>
        <row r="8473">
          <cell r="S8473" t="str">
            <v/>
          </cell>
        </row>
        <row r="8474">
          <cell r="S8474" t="str">
            <v/>
          </cell>
        </row>
        <row r="8475">
          <cell r="S8475" t="str">
            <v/>
          </cell>
        </row>
        <row r="8476">
          <cell r="S8476" t="str">
            <v/>
          </cell>
        </row>
        <row r="8477">
          <cell r="S8477" t="str">
            <v/>
          </cell>
        </row>
        <row r="8478">
          <cell r="S8478" t="str">
            <v/>
          </cell>
        </row>
        <row r="8479">
          <cell r="S8479" t="str">
            <v/>
          </cell>
        </row>
        <row r="8480">
          <cell r="S8480" t="str">
            <v/>
          </cell>
        </row>
        <row r="8481">
          <cell r="S8481" t="str">
            <v/>
          </cell>
        </row>
        <row r="8482">
          <cell r="S8482" t="str">
            <v/>
          </cell>
        </row>
        <row r="8483">
          <cell r="S8483" t="str">
            <v/>
          </cell>
        </row>
        <row r="8484">
          <cell r="S8484" t="str">
            <v/>
          </cell>
        </row>
        <row r="8485">
          <cell r="S8485" t="str">
            <v/>
          </cell>
        </row>
        <row r="8486">
          <cell r="S8486" t="str">
            <v/>
          </cell>
        </row>
        <row r="8487">
          <cell r="S8487" t="str">
            <v/>
          </cell>
        </row>
        <row r="8488">
          <cell r="S8488" t="str">
            <v/>
          </cell>
        </row>
        <row r="8489">
          <cell r="S8489" t="str">
            <v/>
          </cell>
        </row>
        <row r="8490">
          <cell r="S8490" t="str">
            <v/>
          </cell>
        </row>
        <row r="8491">
          <cell r="S8491" t="str">
            <v/>
          </cell>
        </row>
        <row r="8492">
          <cell r="S8492" t="str">
            <v/>
          </cell>
        </row>
        <row r="8493">
          <cell r="S8493" t="str">
            <v/>
          </cell>
        </row>
        <row r="8494">
          <cell r="S8494" t="str">
            <v/>
          </cell>
        </row>
        <row r="8495">
          <cell r="S8495" t="str">
            <v/>
          </cell>
        </row>
        <row r="8496">
          <cell r="S8496" t="str">
            <v/>
          </cell>
        </row>
        <row r="8497">
          <cell r="S8497" t="str">
            <v/>
          </cell>
        </row>
        <row r="8498">
          <cell r="S8498" t="str">
            <v/>
          </cell>
        </row>
        <row r="8499">
          <cell r="S8499" t="str">
            <v/>
          </cell>
        </row>
        <row r="8500">
          <cell r="S8500" t="str">
            <v/>
          </cell>
        </row>
        <row r="8501">
          <cell r="S8501" t="str">
            <v/>
          </cell>
        </row>
        <row r="8502">
          <cell r="S8502" t="str">
            <v/>
          </cell>
        </row>
        <row r="8503">
          <cell r="S8503" t="str">
            <v/>
          </cell>
        </row>
        <row r="8504">
          <cell r="S8504" t="str">
            <v/>
          </cell>
        </row>
        <row r="8505">
          <cell r="S8505" t="str">
            <v/>
          </cell>
        </row>
        <row r="8506">
          <cell r="S8506" t="str">
            <v/>
          </cell>
        </row>
        <row r="8507">
          <cell r="S8507" t="str">
            <v/>
          </cell>
        </row>
        <row r="8508">
          <cell r="S8508" t="str">
            <v/>
          </cell>
        </row>
        <row r="8509">
          <cell r="S8509" t="str">
            <v/>
          </cell>
        </row>
        <row r="8510">
          <cell r="S8510" t="str">
            <v/>
          </cell>
        </row>
        <row r="8511">
          <cell r="S8511" t="str">
            <v/>
          </cell>
        </row>
        <row r="8512">
          <cell r="S8512" t="str">
            <v/>
          </cell>
        </row>
        <row r="8513">
          <cell r="S8513" t="str">
            <v/>
          </cell>
        </row>
        <row r="8514">
          <cell r="S8514" t="str">
            <v/>
          </cell>
        </row>
        <row r="8515">
          <cell r="S8515" t="str">
            <v/>
          </cell>
        </row>
        <row r="8516">
          <cell r="S8516" t="str">
            <v/>
          </cell>
        </row>
        <row r="8517">
          <cell r="S8517" t="str">
            <v/>
          </cell>
        </row>
        <row r="8518">
          <cell r="S8518" t="str">
            <v/>
          </cell>
        </row>
        <row r="8519">
          <cell r="S8519" t="str">
            <v/>
          </cell>
        </row>
        <row r="8520">
          <cell r="S8520" t="str">
            <v/>
          </cell>
        </row>
        <row r="8521">
          <cell r="S8521" t="str">
            <v/>
          </cell>
        </row>
        <row r="8522">
          <cell r="S8522" t="str">
            <v/>
          </cell>
        </row>
        <row r="8523">
          <cell r="S8523" t="str">
            <v/>
          </cell>
        </row>
        <row r="8524">
          <cell r="S8524" t="str">
            <v/>
          </cell>
        </row>
        <row r="8525">
          <cell r="S8525" t="str">
            <v/>
          </cell>
        </row>
        <row r="8526">
          <cell r="S8526" t="str">
            <v/>
          </cell>
        </row>
        <row r="8527">
          <cell r="S8527" t="str">
            <v/>
          </cell>
        </row>
        <row r="8528">
          <cell r="S8528" t="str">
            <v/>
          </cell>
        </row>
        <row r="8529">
          <cell r="S8529" t="str">
            <v/>
          </cell>
        </row>
        <row r="8530">
          <cell r="S8530" t="str">
            <v/>
          </cell>
        </row>
        <row r="8531">
          <cell r="S8531" t="str">
            <v/>
          </cell>
        </row>
        <row r="8532">
          <cell r="S8532" t="str">
            <v/>
          </cell>
        </row>
        <row r="8533">
          <cell r="S8533" t="str">
            <v/>
          </cell>
        </row>
        <row r="8534">
          <cell r="S8534" t="str">
            <v/>
          </cell>
        </row>
        <row r="8535">
          <cell r="S8535" t="str">
            <v/>
          </cell>
        </row>
        <row r="8536">
          <cell r="S8536" t="str">
            <v/>
          </cell>
        </row>
        <row r="8537">
          <cell r="S8537" t="str">
            <v/>
          </cell>
        </row>
        <row r="8538">
          <cell r="S8538" t="str">
            <v/>
          </cell>
        </row>
        <row r="8539">
          <cell r="S8539" t="str">
            <v/>
          </cell>
        </row>
        <row r="8540">
          <cell r="S8540" t="str">
            <v/>
          </cell>
        </row>
        <row r="8541">
          <cell r="S8541" t="str">
            <v/>
          </cell>
        </row>
        <row r="8542">
          <cell r="S8542" t="str">
            <v/>
          </cell>
        </row>
        <row r="8543">
          <cell r="S8543" t="str">
            <v/>
          </cell>
        </row>
        <row r="8544">
          <cell r="S8544" t="str">
            <v/>
          </cell>
        </row>
        <row r="8545">
          <cell r="S8545" t="str">
            <v/>
          </cell>
        </row>
        <row r="8546">
          <cell r="S8546" t="str">
            <v/>
          </cell>
        </row>
        <row r="8547">
          <cell r="S8547" t="str">
            <v/>
          </cell>
        </row>
        <row r="8548">
          <cell r="S8548" t="str">
            <v/>
          </cell>
        </row>
        <row r="8549">
          <cell r="S8549" t="str">
            <v/>
          </cell>
        </row>
        <row r="8550">
          <cell r="S8550" t="str">
            <v/>
          </cell>
        </row>
        <row r="8551">
          <cell r="S8551" t="str">
            <v/>
          </cell>
        </row>
        <row r="8552">
          <cell r="S8552" t="str">
            <v/>
          </cell>
        </row>
        <row r="8553">
          <cell r="S8553" t="str">
            <v/>
          </cell>
        </row>
        <row r="8554">
          <cell r="S8554" t="str">
            <v/>
          </cell>
        </row>
        <row r="8555">
          <cell r="S8555" t="str">
            <v/>
          </cell>
        </row>
        <row r="8556">
          <cell r="S8556" t="str">
            <v/>
          </cell>
        </row>
        <row r="8557">
          <cell r="S8557" t="str">
            <v/>
          </cell>
        </row>
        <row r="8558">
          <cell r="S8558" t="str">
            <v/>
          </cell>
        </row>
        <row r="8559">
          <cell r="S8559" t="str">
            <v/>
          </cell>
        </row>
        <row r="8560">
          <cell r="S8560" t="str">
            <v/>
          </cell>
        </row>
        <row r="8561">
          <cell r="S8561" t="str">
            <v/>
          </cell>
        </row>
        <row r="8562">
          <cell r="S8562" t="str">
            <v/>
          </cell>
        </row>
        <row r="8563">
          <cell r="S8563" t="str">
            <v/>
          </cell>
        </row>
        <row r="8564">
          <cell r="S8564" t="str">
            <v/>
          </cell>
        </row>
        <row r="8565">
          <cell r="S8565" t="str">
            <v/>
          </cell>
        </row>
        <row r="8566">
          <cell r="S8566" t="str">
            <v/>
          </cell>
        </row>
        <row r="8567">
          <cell r="S8567" t="str">
            <v/>
          </cell>
        </row>
        <row r="8568">
          <cell r="S8568" t="str">
            <v/>
          </cell>
        </row>
        <row r="8569">
          <cell r="S8569" t="str">
            <v/>
          </cell>
        </row>
        <row r="8570">
          <cell r="S8570" t="str">
            <v/>
          </cell>
        </row>
        <row r="8571">
          <cell r="S8571" t="str">
            <v/>
          </cell>
        </row>
        <row r="8572">
          <cell r="S8572" t="str">
            <v/>
          </cell>
        </row>
        <row r="8573">
          <cell r="S8573" t="str">
            <v/>
          </cell>
        </row>
        <row r="8574">
          <cell r="S8574" t="str">
            <v/>
          </cell>
        </row>
        <row r="8575">
          <cell r="S8575" t="str">
            <v/>
          </cell>
        </row>
        <row r="8576">
          <cell r="S8576" t="str">
            <v/>
          </cell>
        </row>
        <row r="8577">
          <cell r="S8577" t="str">
            <v/>
          </cell>
        </row>
        <row r="8578">
          <cell r="S8578" t="str">
            <v/>
          </cell>
        </row>
        <row r="8579">
          <cell r="S8579" t="str">
            <v/>
          </cell>
        </row>
        <row r="8580">
          <cell r="S8580" t="str">
            <v/>
          </cell>
        </row>
        <row r="8581">
          <cell r="S8581" t="str">
            <v/>
          </cell>
        </row>
        <row r="8582">
          <cell r="S8582" t="str">
            <v/>
          </cell>
        </row>
        <row r="8583">
          <cell r="S8583" t="str">
            <v/>
          </cell>
        </row>
        <row r="8584">
          <cell r="S8584" t="str">
            <v/>
          </cell>
        </row>
        <row r="8585">
          <cell r="S8585" t="str">
            <v/>
          </cell>
        </row>
        <row r="8586">
          <cell r="S8586" t="str">
            <v/>
          </cell>
        </row>
        <row r="8587">
          <cell r="S8587" t="str">
            <v/>
          </cell>
        </row>
        <row r="8588">
          <cell r="S8588" t="str">
            <v/>
          </cell>
        </row>
        <row r="8589">
          <cell r="S8589" t="str">
            <v/>
          </cell>
        </row>
        <row r="8590">
          <cell r="S8590" t="str">
            <v/>
          </cell>
        </row>
        <row r="8591">
          <cell r="S8591" t="str">
            <v/>
          </cell>
        </row>
        <row r="8592">
          <cell r="S8592" t="str">
            <v/>
          </cell>
        </row>
        <row r="8593">
          <cell r="S8593" t="str">
            <v/>
          </cell>
        </row>
        <row r="8594">
          <cell r="S8594" t="str">
            <v/>
          </cell>
        </row>
        <row r="8595">
          <cell r="S8595" t="str">
            <v/>
          </cell>
        </row>
        <row r="8596">
          <cell r="S8596" t="str">
            <v/>
          </cell>
        </row>
        <row r="8597">
          <cell r="S8597" t="str">
            <v/>
          </cell>
        </row>
        <row r="8598">
          <cell r="S8598" t="str">
            <v/>
          </cell>
        </row>
        <row r="8599">
          <cell r="S8599" t="str">
            <v/>
          </cell>
        </row>
        <row r="8600">
          <cell r="S8600" t="str">
            <v/>
          </cell>
        </row>
        <row r="8601">
          <cell r="S8601" t="str">
            <v/>
          </cell>
        </row>
        <row r="8602">
          <cell r="S8602" t="str">
            <v/>
          </cell>
        </row>
        <row r="8603">
          <cell r="S8603" t="str">
            <v/>
          </cell>
        </row>
        <row r="8604">
          <cell r="S8604" t="str">
            <v/>
          </cell>
        </row>
        <row r="8605">
          <cell r="S8605" t="str">
            <v/>
          </cell>
        </row>
        <row r="8606">
          <cell r="S8606" t="str">
            <v/>
          </cell>
        </row>
        <row r="8607">
          <cell r="S8607" t="str">
            <v/>
          </cell>
        </row>
        <row r="8608">
          <cell r="S8608" t="str">
            <v/>
          </cell>
        </row>
        <row r="8609">
          <cell r="S8609" t="str">
            <v/>
          </cell>
        </row>
        <row r="8610">
          <cell r="S8610" t="str">
            <v/>
          </cell>
        </row>
        <row r="8611">
          <cell r="S8611" t="str">
            <v/>
          </cell>
        </row>
        <row r="8612">
          <cell r="S8612" t="str">
            <v/>
          </cell>
        </row>
        <row r="8613">
          <cell r="S8613" t="str">
            <v/>
          </cell>
        </row>
        <row r="8614">
          <cell r="S8614" t="str">
            <v/>
          </cell>
        </row>
        <row r="8615">
          <cell r="S8615" t="str">
            <v/>
          </cell>
        </row>
        <row r="8616">
          <cell r="S8616" t="str">
            <v/>
          </cell>
        </row>
        <row r="8617">
          <cell r="S8617" t="str">
            <v/>
          </cell>
        </row>
        <row r="8618">
          <cell r="S8618" t="str">
            <v/>
          </cell>
        </row>
        <row r="8619">
          <cell r="S8619" t="str">
            <v/>
          </cell>
        </row>
        <row r="8620">
          <cell r="S8620" t="str">
            <v/>
          </cell>
        </row>
        <row r="8621">
          <cell r="S8621" t="str">
            <v/>
          </cell>
        </row>
        <row r="8622">
          <cell r="S8622" t="str">
            <v/>
          </cell>
        </row>
        <row r="8623">
          <cell r="S8623" t="str">
            <v/>
          </cell>
        </row>
        <row r="8624">
          <cell r="S8624" t="str">
            <v/>
          </cell>
        </row>
        <row r="8625">
          <cell r="S8625" t="str">
            <v/>
          </cell>
        </row>
        <row r="8626">
          <cell r="S8626" t="str">
            <v/>
          </cell>
        </row>
        <row r="8627">
          <cell r="S8627" t="str">
            <v/>
          </cell>
        </row>
        <row r="8628">
          <cell r="S8628" t="str">
            <v/>
          </cell>
        </row>
        <row r="8629">
          <cell r="S8629" t="str">
            <v/>
          </cell>
        </row>
        <row r="8630">
          <cell r="S8630" t="str">
            <v/>
          </cell>
        </row>
        <row r="8631">
          <cell r="S8631" t="str">
            <v/>
          </cell>
        </row>
        <row r="8632">
          <cell r="S8632" t="str">
            <v/>
          </cell>
        </row>
        <row r="8633">
          <cell r="S8633" t="str">
            <v/>
          </cell>
        </row>
        <row r="8634">
          <cell r="S8634" t="str">
            <v/>
          </cell>
        </row>
        <row r="8635">
          <cell r="S8635" t="str">
            <v/>
          </cell>
        </row>
        <row r="8636">
          <cell r="S8636" t="str">
            <v/>
          </cell>
        </row>
        <row r="8637">
          <cell r="S8637" t="str">
            <v/>
          </cell>
        </row>
        <row r="8638">
          <cell r="S8638" t="str">
            <v/>
          </cell>
        </row>
        <row r="8639">
          <cell r="S8639" t="str">
            <v/>
          </cell>
        </row>
        <row r="8640">
          <cell r="S8640" t="str">
            <v/>
          </cell>
        </row>
        <row r="8641">
          <cell r="S8641" t="str">
            <v/>
          </cell>
        </row>
        <row r="8642">
          <cell r="S8642" t="str">
            <v/>
          </cell>
        </row>
        <row r="8643">
          <cell r="S8643" t="str">
            <v/>
          </cell>
        </row>
        <row r="8644">
          <cell r="S8644" t="str">
            <v/>
          </cell>
        </row>
        <row r="8645">
          <cell r="S8645" t="str">
            <v/>
          </cell>
        </row>
        <row r="8646">
          <cell r="S8646" t="str">
            <v/>
          </cell>
        </row>
        <row r="8647">
          <cell r="S8647" t="str">
            <v/>
          </cell>
        </row>
        <row r="8648">
          <cell r="S8648" t="str">
            <v/>
          </cell>
        </row>
        <row r="8649">
          <cell r="S8649" t="str">
            <v/>
          </cell>
        </row>
        <row r="8650">
          <cell r="S8650" t="str">
            <v/>
          </cell>
        </row>
        <row r="8651">
          <cell r="S8651" t="str">
            <v/>
          </cell>
        </row>
        <row r="8652">
          <cell r="S8652" t="str">
            <v/>
          </cell>
        </row>
        <row r="8653">
          <cell r="S8653" t="str">
            <v/>
          </cell>
        </row>
        <row r="8654">
          <cell r="S8654" t="str">
            <v/>
          </cell>
        </row>
        <row r="8655">
          <cell r="S8655" t="str">
            <v/>
          </cell>
        </row>
        <row r="8656">
          <cell r="S8656" t="str">
            <v/>
          </cell>
        </row>
        <row r="8657">
          <cell r="S8657" t="str">
            <v/>
          </cell>
        </row>
        <row r="8658">
          <cell r="S8658" t="str">
            <v/>
          </cell>
        </row>
        <row r="8659">
          <cell r="S8659" t="str">
            <v/>
          </cell>
        </row>
        <row r="8660">
          <cell r="S8660" t="str">
            <v/>
          </cell>
        </row>
        <row r="8661">
          <cell r="S8661" t="str">
            <v/>
          </cell>
        </row>
        <row r="8662">
          <cell r="S8662" t="str">
            <v/>
          </cell>
        </row>
        <row r="8663">
          <cell r="S8663" t="str">
            <v/>
          </cell>
        </row>
        <row r="8664">
          <cell r="S8664" t="str">
            <v/>
          </cell>
        </row>
        <row r="8665">
          <cell r="S8665" t="str">
            <v/>
          </cell>
        </row>
        <row r="8666">
          <cell r="S8666" t="str">
            <v/>
          </cell>
        </row>
        <row r="8667">
          <cell r="S8667" t="str">
            <v/>
          </cell>
        </row>
        <row r="8668">
          <cell r="S8668" t="str">
            <v/>
          </cell>
        </row>
        <row r="8669">
          <cell r="S8669" t="str">
            <v/>
          </cell>
        </row>
        <row r="8670">
          <cell r="S8670" t="str">
            <v/>
          </cell>
        </row>
        <row r="8671">
          <cell r="S8671" t="str">
            <v/>
          </cell>
        </row>
        <row r="8672">
          <cell r="S8672" t="str">
            <v/>
          </cell>
        </row>
        <row r="8673">
          <cell r="S8673" t="str">
            <v/>
          </cell>
        </row>
        <row r="8674">
          <cell r="S8674" t="str">
            <v/>
          </cell>
        </row>
        <row r="8675">
          <cell r="S8675" t="str">
            <v/>
          </cell>
        </row>
        <row r="8676">
          <cell r="S8676" t="str">
            <v/>
          </cell>
        </row>
        <row r="8677">
          <cell r="S8677" t="str">
            <v/>
          </cell>
        </row>
        <row r="8678">
          <cell r="S8678" t="str">
            <v/>
          </cell>
        </row>
        <row r="8679">
          <cell r="S8679" t="str">
            <v/>
          </cell>
        </row>
        <row r="8680">
          <cell r="S8680" t="str">
            <v/>
          </cell>
        </row>
        <row r="8681">
          <cell r="S8681" t="str">
            <v/>
          </cell>
        </row>
        <row r="8682">
          <cell r="S8682" t="str">
            <v/>
          </cell>
        </row>
        <row r="8683">
          <cell r="S8683" t="str">
            <v/>
          </cell>
        </row>
        <row r="8684">
          <cell r="S8684" t="str">
            <v/>
          </cell>
        </row>
        <row r="8685">
          <cell r="S8685" t="str">
            <v/>
          </cell>
        </row>
        <row r="8686">
          <cell r="S8686" t="str">
            <v/>
          </cell>
        </row>
        <row r="8687">
          <cell r="S8687" t="str">
            <v/>
          </cell>
        </row>
        <row r="8688">
          <cell r="S8688" t="str">
            <v/>
          </cell>
        </row>
        <row r="8689">
          <cell r="S8689" t="str">
            <v/>
          </cell>
        </row>
        <row r="8690">
          <cell r="S8690" t="str">
            <v/>
          </cell>
        </row>
        <row r="8691">
          <cell r="S8691" t="str">
            <v/>
          </cell>
        </row>
        <row r="8692">
          <cell r="S8692" t="str">
            <v/>
          </cell>
        </row>
        <row r="8693">
          <cell r="S8693" t="str">
            <v/>
          </cell>
        </row>
        <row r="8694">
          <cell r="S8694" t="str">
            <v/>
          </cell>
        </row>
        <row r="8695">
          <cell r="S8695" t="str">
            <v/>
          </cell>
        </row>
        <row r="8696">
          <cell r="S8696" t="str">
            <v/>
          </cell>
        </row>
        <row r="8697">
          <cell r="S8697" t="str">
            <v/>
          </cell>
        </row>
        <row r="8698">
          <cell r="S8698" t="str">
            <v/>
          </cell>
        </row>
        <row r="8699">
          <cell r="S8699" t="str">
            <v/>
          </cell>
        </row>
        <row r="8700">
          <cell r="S8700" t="str">
            <v/>
          </cell>
        </row>
        <row r="8701">
          <cell r="S8701" t="str">
            <v/>
          </cell>
        </row>
        <row r="8702">
          <cell r="S8702" t="str">
            <v/>
          </cell>
        </row>
        <row r="8703">
          <cell r="S8703" t="str">
            <v/>
          </cell>
        </row>
        <row r="8704">
          <cell r="S8704" t="str">
            <v/>
          </cell>
        </row>
        <row r="8705">
          <cell r="S8705" t="str">
            <v/>
          </cell>
        </row>
        <row r="8706">
          <cell r="S8706" t="str">
            <v/>
          </cell>
        </row>
        <row r="8707">
          <cell r="S8707" t="str">
            <v/>
          </cell>
        </row>
        <row r="8708">
          <cell r="S8708" t="str">
            <v/>
          </cell>
        </row>
        <row r="8709">
          <cell r="S8709" t="str">
            <v/>
          </cell>
        </row>
        <row r="8710">
          <cell r="S8710" t="str">
            <v/>
          </cell>
        </row>
        <row r="8711">
          <cell r="S8711" t="str">
            <v/>
          </cell>
        </row>
        <row r="8712">
          <cell r="S8712" t="str">
            <v/>
          </cell>
        </row>
        <row r="8713">
          <cell r="S8713" t="str">
            <v/>
          </cell>
        </row>
        <row r="8714">
          <cell r="S8714" t="str">
            <v/>
          </cell>
        </row>
        <row r="8715">
          <cell r="S8715" t="str">
            <v/>
          </cell>
        </row>
        <row r="8716">
          <cell r="S8716" t="str">
            <v/>
          </cell>
        </row>
        <row r="8717">
          <cell r="S8717" t="str">
            <v/>
          </cell>
        </row>
        <row r="8718">
          <cell r="S8718" t="str">
            <v/>
          </cell>
        </row>
        <row r="8719">
          <cell r="S8719" t="str">
            <v/>
          </cell>
        </row>
        <row r="8720">
          <cell r="S8720" t="str">
            <v/>
          </cell>
        </row>
        <row r="8721">
          <cell r="S8721" t="str">
            <v/>
          </cell>
        </row>
        <row r="8722">
          <cell r="S8722" t="str">
            <v/>
          </cell>
        </row>
        <row r="8723">
          <cell r="S8723" t="str">
            <v/>
          </cell>
        </row>
        <row r="8724">
          <cell r="S8724" t="str">
            <v/>
          </cell>
        </row>
        <row r="8725">
          <cell r="S8725" t="str">
            <v/>
          </cell>
        </row>
        <row r="8726">
          <cell r="S8726" t="str">
            <v/>
          </cell>
        </row>
        <row r="8727">
          <cell r="S8727" t="str">
            <v/>
          </cell>
        </row>
        <row r="8728">
          <cell r="S8728" t="str">
            <v/>
          </cell>
        </row>
        <row r="8729">
          <cell r="S8729" t="str">
            <v/>
          </cell>
        </row>
        <row r="8730">
          <cell r="S8730" t="str">
            <v/>
          </cell>
        </row>
        <row r="8731">
          <cell r="S8731" t="str">
            <v/>
          </cell>
        </row>
        <row r="8732">
          <cell r="S8732" t="str">
            <v/>
          </cell>
        </row>
        <row r="8733">
          <cell r="S8733" t="str">
            <v/>
          </cell>
        </row>
        <row r="8734">
          <cell r="S8734" t="str">
            <v/>
          </cell>
        </row>
        <row r="8735">
          <cell r="S8735" t="str">
            <v/>
          </cell>
        </row>
        <row r="8736">
          <cell r="S8736" t="str">
            <v/>
          </cell>
        </row>
        <row r="8737">
          <cell r="S8737" t="str">
            <v/>
          </cell>
        </row>
        <row r="8738">
          <cell r="S8738" t="str">
            <v/>
          </cell>
        </row>
        <row r="8739">
          <cell r="S8739" t="str">
            <v/>
          </cell>
        </row>
        <row r="8740">
          <cell r="S8740" t="str">
            <v/>
          </cell>
        </row>
        <row r="8741">
          <cell r="S8741" t="str">
            <v/>
          </cell>
        </row>
        <row r="8742">
          <cell r="S8742" t="str">
            <v/>
          </cell>
        </row>
        <row r="8743">
          <cell r="S8743" t="str">
            <v/>
          </cell>
        </row>
        <row r="8744">
          <cell r="S8744" t="str">
            <v/>
          </cell>
        </row>
        <row r="8745">
          <cell r="S8745" t="str">
            <v/>
          </cell>
        </row>
        <row r="8746">
          <cell r="S8746" t="str">
            <v/>
          </cell>
        </row>
        <row r="8747">
          <cell r="S8747" t="str">
            <v/>
          </cell>
        </row>
        <row r="8748">
          <cell r="S8748" t="str">
            <v/>
          </cell>
        </row>
        <row r="8749">
          <cell r="S8749" t="str">
            <v/>
          </cell>
        </row>
        <row r="8750">
          <cell r="S8750" t="str">
            <v/>
          </cell>
        </row>
        <row r="8751">
          <cell r="S8751" t="str">
            <v/>
          </cell>
        </row>
        <row r="8752">
          <cell r="S8752" t="str">
            <v/>
          </cell>
        </row>
        <row r="8753">
          <cell r="S8753" t="str">
            <v/>
          </cell>
        </row>
        <row r="8754">
          <cell r="S8754" t="str">
            <v/>
          </cell>
        </row>
        <row r="8755">
          <cell r="S8755" t="str">
            <v/>
          </cell>
        </row>
        <row r="8756">
          <cell r="S8756" t="str">
            <v/>
          </cell>
        </row>
        <row r="8757">
          <cell r="S8757" t="str">
            <v/>
          </cell>
        </row>
        <row r="8758">
          <cell r="S8758" t="str">
            <v/>
          </cell>
        </row>
        <row r="8759">
          <cell r="S8759" t="str">
            <v/>
          </cell>
        </row>
        <row r="8760">
          <cell r="S8760" t="str">
            <v/>
          </cell>
        </row>
        <row r="8761">
          <cell r="S8761" t="str">
            <v/>
          </cell>
        </row>
        <row r="8762">
          <cell r="S8762" t="str">
            <v/>
          </cell>
        </row>
        <row r="8763">
          <cell r="S8763" t="str">
            <v/>
          </cell>
        </row>
        <row r="8764">
          <cell r="S8764" t="str">
            <v/>
          </cell>
        </row>
        <row r="8765">
          <cell r="S8765" t="str">
            <v/>
          </cell>
        </row>
        <row r="8766">
          <cell r="S8766" t="str">
            <v/>
          </cell>
        </row>
        <row r="8767">
          <cell r="S8767" t="str">
            <v/>
          </cell>
        </row>
        <row r="8768">
          <cell r="S8768" t="str">
            <v/>
          </cell>
        </row>
        <row r="8769">
          <cell r="S8769" t="str">
            <v/>
          </cell>
        </row>
        <row r="8770">
          <cell r="S8770" t="str">
            <v/>
          </cell>
        </row>
        <row r="8771">
          <cell r="S8771" t="str">
            <v/>
          </cell>
        </row>
        <row r="8772">
          <cell r="S8772" t="str">
            <v/>
          </cell>
        </row>
        <row r="8773">
          <cell r="S8773" t="str">
            <v/>
          </cell>
        </row>
        <row r="8774">
          <cell r="S8774" t="str">
            <v/>
          </cell>
        </row>
        <row r="8775">
          <cell r="S8775" t="str">
            <v/>
          </cell>
        </row>
        <row r="8776">
          <cell r="S8776" t="str">
            <v/>
          </cell>
        </row>
        <row r="8777">
          <cell r="S8777" t="str">
            <v/>
          </cell>
        </row>
        <row r="8778">
          <cell r="S8778" t="str">
            <v/>
          </cell>
        </row>
        <row r="8779">
          <cell r="S8779" t="str">
            <v/>
          </cell>
        </row>
        <row r="8780">
          <cell r="S8780" t="str">
            <v/>
          </cell>
        </row>
        <row r="8781">
          <cell r="S8781" t="str">
            <v/>
          </cell>
        </row>
        <row r="8782">
          <cell r="S8782" t="str">
            <v/>
          </cell>
        </row>
        <row r="8783">
          <cell r="S8783" t="str">
            <v/>
          </cell>
        </row>
        <row r="8784">
          <cell r="S8784" t="str">
            <v/>
          </cell>
        </row>
        <row r="8785">
          <cell r="S8785" t="str">
            <v/>
          </cell>
        </row>
        <row r="8786">
          <cell r="S8786" t="str">
            <v/>
          </cell>
        </row>
        <row r="8787">
          <cell r="S8787" t="str">
            <v/>
          </cell>
        </row>
        <row r="8788">
          <cell r="S8788" t="str">
            <v/>
          </cell>
        </row>
        <row r="8789">
          <cell r="S8789" t="str">
            <v/>
          </cell>
        </row>
        <row r="8790">
          <cell r="S8790" t="str">
            <v/>
          </cell>
        </row>
        <row r="8791">
          <cell r="S8791" t="str">
            <v/>
          </cell>
        </row>
        <row r="8792">
          <cell r="S8792" t="str">
            <v/>
          </cell>
        </row>
        <row r="8793">
          <cell r="S8793" t="str">
            <v/>
          </cell>
        </row>
        <row r="8794">
          <cell r="S8794" t="str">
            <v/>
          </cell>
        </row>
        <row r="8795">
          <cell r="S8795" t="str">
            <v/>
          </cell>
        </row>
        <row r="8796">
          <cell r="S8796" t="str">
            <v/>
          </cell>
        </row>
        <row r="8797">
          <cell r="S8797" t="str">
            <v/>
          </cell>
        </row>
        <row r="8798">
          <cell r="S8798" t="str">
            <v/>
          </cell>
        </row>
        <row r="8799">
          <cell r="S8799" t="str">
            <v/>
          </cell>
        </row>
        <row r="8800">
          <cell r="S8800" t="str">
            <v/>
          </cell>
        </row>
        <row r="8801">
          <cell r="S8801" t="str">
            <v/>
          </cell>
        </row>
        <row r="8802">
          <cell r="S8802" t="str">
            <v/>
          </cell>
        </row>
        <row r="8803">
          <cell r="S8803" t="str">
            <v/>
          </cell>
        </row>
        <row r="8804">
          <cell r="S8804" t="str">
            <v/>
          </cell>
        </row>
        <row r="8805">
          <cell r="S8805" t="str">
            <v/>
          </cell>
        </row>
        <row r="8806">
          <cell r="S8806" t="str">
            <v/>
          </cell>
        </row>
        <row r="8807">
          <cell r="S8807" t="str">
            <v/>
          </cell>
        </row>
        <row r="8808">
          <cell r="S8808" t="str">
            <v/>
          </cell>
        </row>
        <row r="8809">
          <cell r="S8809" t="str">
            <v/>
          </cell>
        </row>
        <row r="8810">
          <cell r="S8810" t="str">
            <v/>
          </cell>
        </row>
        <row r="8811">
          <cell r="S8811" t="str">
            <v/>
          </cell>
        </row>
        <row r="8812">
          <cell r="S8812" t="str">
            <v/>
          </cell>
        </row>
        <row r="8813">
          <cell r="S8813" t="str">
            <v/>
          </cell>
        </row>
        <row r="8814">
          <cell r="S8814" t="str">
            <v/>
          </cell>
        </row>
        <row r="8815">
          <cell r="S8815" t="str">
            <v/>
          </cell>
        </row>
        <row r="8816">
          <cell r="S8816" t="str">
            <v/>
          </cell>
        </row>
        <row r="8817">
          <cell r="S8817" t="str">
            <v/>
          </cell>
        </row>
        <row r="8818">
          <cell r="S8818" t="str">
            <v/>
          </cell>
        </row>
        <row r="8819">
          <cell r="S8819" t="str">
            <v/>
          </cell>
        </row>
        <row r="8820">
          <cell r="S8820" t="str">
            <v/>
          </cell>
        </row>
        <row r="8821">
          <cell r="S8821" t="str">
            <v/>
          </cell>
        </row>
        <row r="8822">
          <cell r="S8822" t="str">
            <v/>
          </cell>
        </row>
        <row r="8823">
          <cell r="S8823" t="str">
            <v/>
          </cell>
        </row>
        <row r="8824">
          <cell r="S8824" t="str">
            <v/>
          </cell>
        </row>
        <row r="8825">
          <cell r="S8825" t="str">
            <v/>
          </cell>
        </row>
        <row r="8826">
          <cell r="S8826" t="str">
            <v/>
          </cell>
        </row>
        <row r="8827">
          <cell r="S8827" t="str">
            <v/>
          </cell>
        </row>
        <row r="8828">
          <cell r="S8828" t="str">
            <v/>
          </cell>
        </row>
        <row r="8829">
          <cell r="S8829" t="str">
            <v/>
          </cell>
        </row>
        <row r="8830">
          <cell r="S8830" t="str">
            <v/>
          </cell>
        </row>
        <row r="8831">
          <cell r="S8831" t="str">
            <v/>
          </cell>
        </row>
        <row r="8832">
          <cell r="S8832" t="str">
            <v/>
          </cell>
        </row>
        <row r="8833">
          <cell r="S8833" t="str">
            <v/>
          </cell>
        </row>
        <row r="8834">
          <cell r="S8834" t="str">
            <v/>
          </cell>
        </row>
        <row r="8835">
          <cell r="S8835" t="str">
            <v/>
          </cell>
        </row>
        <row r="8836">
          <cell r="S8836" t="str">
            <v/>
          </cell>
        </row>
        <row r="8837">
          <cell r="S8837" t="str">
            <v/>
          </cell>
        </row>
        <row r="8838">
          <cell r="S8838" t="str">
            <v/>
          </cell>
        </row>
        <row r="8839">
          <cell r="S8839" t="str">
            <v/>
          </cell>
        </row>
        <row r="8840">
          <cell r="S8840" t="str">
            <v/>
          </cell>
        </row>
        <row r="8841">
          <cell r="S8841" t="str">
            <v/>
          </cell>
        </row>
        <row r="8842">
          <cell r="S8842" t="str">
            <v/>
          </cell>
        </row>
        <row r="8843">
          <cell r="S8843" t="str">
            <v/>
          </cell>
        </row>
        <row r="8844">
          <cell r="S8844" t="str">
            <v/>
          </cell>
        </row>
        <row r="8845">
          <cell r="S8845" t="str">
            <v/>
          </cell>
        </row>
        <row r="8846">
          <cell r="S8846" t="str">
            <v/>
          </cell>
        </row>
        <row r="8847">
          <cell r="S8847" t="str">
            <v/>
          </cell>
        </row>
        <row r="8848">
          <cell r="S8848" t="str">
            <v/>
          </cell>
        </row>
        <row r="8849">
          <cell r="S8849" t="str">
            <v/>
          </cell>
        </row>
        <row r="8850">
          <cell r="S8850" t="str">
            <v/>
          </cell>
        </row>
        <row r="8851">
          <cell r="S8851" t="str">
            <v/>
          </cell>
        </row>
        <row r="8852">
          <cell r="S8852" t="str">
            <v/>
          </cell>
        </row>
        <row r="8853">
          <cell r="S8853" t="str">
            <v/>
          </cell>
        </row>
        <row r="8854">
          <cell r="S8854" t="str">
            <v/>
          </cell>
        </row>
        <row r="8855">
          <cell r="S8855" t="str">
            <v/>
          </cell>
        </row>
        <row r="8856">
          <cell r="S8856" t="str">
            <v/>
          </cell>
        </row>
        <row r="8857">
          <cell r="S8857" t="str">
            <v/>
          </cell>
        </row>
        <row r="8858">
          <cell r="S8858" t="str">
            <v/>
          </cell>
        </row>
        <row r="8859">
          <cell r="S8859" t="str">
            <v/>
          </cell>
        </row>
        <row r="8860">
          <cell r="S8860" t="str">
            <v/>
          </cell>
        </row>
        <row r="8861">
          <cell r="S8861" t="str">
            <v/>
          </cell>
        </row>
        <row r="8862">
          <cell r="S8862" t="str">
            <v/>
          </cell>
        </row>
        <row r="8863">
          <cell r="S8863" t="str">
            <v/>
          </cell>
        </row>
        <row r="8864">
          <cell r="S8864" t="str">
            <v/>
          </cell>
        </row>
        <row r="8865">
          <cell r="S8865" t="str">
            <v/>
          </cell>
        </row>
        <row r="8866">
          <cell r="S8866" t="str">
            <v/>
          </cell>
        </row>
        <row r="8867">
          <cell r="S8867" t="str">
            <v/>
          </cell>
        </row>
        <row r="8868">
          <cell r="S8868" t="str">
            <v/>
          </cell>
        </row>
        <row r="8869">
          <cell r="S8869" t="str">
            <v/>
          </cell>
        </row>
        <row r="8870">
          <cell r="S8870" t="str">
            <v/>
          </cell>
        </row>
        <row r="8871">
          <cell r="S8871" t="str">
            <v/>
          </cell>
        </row>
        <row r="8872">
          <cell r="S8872" t="str">
            <v/>
          </cell>
        </row>
        <row r="8873">
          <cell r="S8873" t="str">
            <v/>
          </cell>
        </row>
        <row r="8874">
          <cell r="S8874" t="str">
            <v/>
          </cell>
        </row>
        <row r="8875">
          <cell r="S8875" t="str">
            <v/>
          </cell>
        </row>
        <row r="8876">
          <cell r="S8876" t="str">
            <v/>
          </cell>
        </row>
        <row r="8877">
          <cell r="S8877" t="str">
            <v/>
          </cell>
        </row>
        <row r="8878">
          <cell r="S8878" t="str">
            <v/>
          </cell>
        </row>
        <row r="8879">
          <cell r="S8879" t="str">
            <v/>
          </cell>
        </row>
        <row r="8880">
          <cell r="S8880" t="str">
            <v/>
          </cell>
        </row>
        <row r="8881">
          <cell r="S8881" t="str">
            <v/>
          </cell>
        </row>
        <row r="8882">
          <cell r="S8882" t="str">
            <v/>
          </cell>
        </row>
        <row r="8883">
          <cell r="S8883" t="str">
            <v/>
          </cell>
        </row>
        <row r="8884">
          <cell r="S8884" t="str">
            <v/>
          </cell>
        </row>
        <row r="8885">
          <cell r="S8885" t="str">
            <v/>
          </cell>
        </row>
        <row r="8886">
          <cell r="S8886" t="str">
            <v/>
          </cell>
        </row>
        <row r="8887">
          <cell r="S8887" t="str">
            <v/>
          </cell>
        </row>
        <row r="8888">
          <cell r="S8888" t="str">
            <v/>
          </cell>
        </row>
        <row r="8889">
          <cell r="S8889" t="str">
            <v/>
          </cell>
        </row>
        <row r="8890">
          <cell r="S8890" t="str">
            <v/>
          </cell>
        </row>
        <row r="8891">
          <cell r="S8891" t="str">
            <v/>
          </cell>
        </row>
        <row r="8892">
          <cell r="S8892" t="str">
            <v/>
          </cell>
        </row>
        <row r="8893">
          <cell r="S8893" t="str">
            <v/>
          </cell>
        </row>
        <row r="8894">
          <cell r="S8894" t="str">
            <v/>
          </cell>
        </row>
        <row r="8895">
          <cell r="S8895" t="str">
            <v/>
          </cell>
        </row>
        <row r="8896">
          <cell r="S8896" t="str">
            <v/>
          </cell>
        </row>
        <row r="8897">
          <cell r="S8897" t="str">
            <v/>
          </cell>
        </row>
        <row r="8898">
          <cell r="S8898" t="str">
            <v/>
          </cell>
        </row>
        <row r="8899">
          <cell r="S8899" t="str">
            <v/>
          </cell>
        </row>
        <row r="8900">
          <cell r="S8900" t="str">
            <v/>
          </cell>
        </row>
        <row r="8901">
          <cell r="S8901" t="str">
            <v/>
          </cell>
        </row>
        <row r="8902">
          <cell r="S8902" t="str">
            <v/>
          </cell>
        </row>
        <row r="8903">
          <cell r="S8903" t="str">
            <v/>
          </cell>
        </row>
        <row r="8904">
          <cell r="S8904" t="str">
            <v/>
          </cell>
        </row>
        <row r="8905">
          <cell r="S8905" t="str">
            <v/>
          </cell>
        </row>
        <row r="8906">
          <cell r="S8906" t="str">
            <v/>
          </cell>
        </row>
        <row r="8907">
          <cell r="S8907" t="str">
            <v/>
          </cell>
        </row>
        <row r="8908">
          <cell r="S8908" t="str">
            <v/>
          </cell>
        </row>
        <row r="8909">
          <cell r="S8909" t="str">
            <v/>
          </cell>
        </row>
        <row r="8910">
          <cell r="S8910" t="str">
            <v/>
          </cell>
        </row>
        <row r="8911">
          <cell r="S8911" t="str">
            <v/>
          </cell>
        </row>
        <row r="8912">
          <cell r="S8912" t="str">
            <v/>
          </cell>
        </row>
        <row r="8913">
          <cell r="S8913" t="str">
            <v/>
          </cell>
        </row>
        <row r="8914">
          <cell r="S8914" t="str">
            <v/>
          </cell>
        </row>
        <row r="8915">
          <cell r="S8915" t="str">
            <v/>
          </cell>
        </row>
        <row r="8916">
          <cell r="S8916" t="str">
            <v/>
          </cell>
        </row>
        <row r="8917">
          <cell r="S8917" t="str">
            <v/>
          </cell>
        </row>
        <row r="8918">
          <cell r="S8918" t="str">
            <v/>
          </cell>
        </row>
        <row r="8919">
          <cell r="S8919" t="str">
            <v/>
          </cell>
        </row>
        <row r="8920">
          <cell r="S8920" t="str">
            <v/>
          </cell>
        </row>
        <row r="8921">
          <cell r="S8921" t="str">
            <v/>
          </cell>
        </row>
        <row r="8922">
          <cell r="S8922" t="str">
            <v/>
          </cell>
        </row>
        <row r="8923">
          <cell r="S8923" t="str">
            <v/>
          </cell>
        </row>
        <row r="8924">
          <cell r="S8924" t="str">
            <v/>
          </cell>
        </row>
        <row r="8925">
          <cell r="S8925" t="str">
            <v/>
          </cell>
        </row>
        <row r="8926">
          <cell r="S8926" t="str">
            <v/>
          </cell>
        </row>
        <row r="8927">
          <cell r="S8927" t="str">
            <v/>
          </cell>
        </row>
        <row r="8928">
          <cell r="S8928" t="str">
            <v/>
          </cell>
        </row>
        <row r="8929">
          <cell r="S8929" t="str">
            <v/>
          </cell>
        </row>
        <row r="8930">
          <cell r="S8930" t="str">
            <v/>
          </cell>
        </row>
        <row r="8931">
          <cell r="S8931" t="str">
            <v/>
          </cell>
        </row>
        <row r="8932">
          <cell r="S8932" t="str">
            <v/>
          </cell>
        </row>
        <row r="8933">
          <cell r="S8933" t="str">
            <v/>
          </cell>
        </row>
        <row r="8934">
          <cell r="S8934" t="str">
            <v/>
          </cell>
        </row>
        <row r="8935">
          <cell r="S8935" t="str">
            <v/>
          </cell>
        </row>
        <row r="8936">
          <cell r="S8936" t="str">
            <v/>
          </cell>
        </row>
        <row r="8937">
          <cell r="S8937" t="str">
            <v/>
          </cell>
        </row>
        <row r="8938">
          <cell r="S8938" t="str">
            <v/>
          </cell>
        </row>
        <row r="8939">
          <cell r="S8939" t="str">
            <v/>
          </cell>
        </row>
        <row r="8940">
          <cell r="S8940" t="str">
            <v/>
          </cell>
        </row>
        <row r="8941">
          <cell r="S8941" t="str">
            <v/>
          </cell>
        </row>
        <row r="8942">
          <cell r="S8942" t="str">
            <v/>
          </cell>
        </row>
        <row r="8943">
          <cell r="S8943" t="str">
            <v/>
          </cell>
        </row>
        <row r="8944">
          <cell r="S8944" t="str">
            <v/>
          </cell>
        </row>
        <row r="8945">
          <cell r="S8945" t="str">
            <v/>
          </cell>
        </row>
        <row r="8946">
          <cell r="S8946" t="str">
            <v/>
          </cell>
        </row>
        <row r="8947">
          <cell r="S8947" t="str">
            <v/>
          </cell>
        </row>
        <row r="8948">
          <cell r="S8948" t="str">
            <v/>
          </cell>
        </row>
        <row r="8949">
          <cell r="S8949" t="str">
            <v/>
          </cell>
        </row>
        <row r="8950">
          <cell r="S8950" t="str">
            <v/>
          </cell>
        </row>
        <row r="8951">
          <cell r="S8951" t="str">
            <v/>
          </cell>
        </row>
        <row r="8952">
          <cell r="S8952" t="str">
            <v/>
          </cell>
        </row>
        <row r="8953">
          <cell r="S8953" t="str">
            <v/>
          </cell>
        </row>
        <row r="8954">
          <cell r="S8954" t="str">
            <v/>
          </cell>
        </row>
        <row r="8955">
          <cell r="S8955" t="str">
            <v/>
          </cell>
        </row>
        <row r="8956">
          <cell r="S8956" t="str">
            <v/>
          </cell>
        </row>
        <row r="8957">
          <cell r="S8957" t="str">
            <v/>
          </cell>
        </row>
        <row r="8958">
          <cell r="S8958" t="str">
            <v/>
          </cell>
        </row>
        <row r="8959">
          <cell r="S8959" t="str">
            <v/>
          </cell>
        </row>
        <row r="8960">
          <cell r="S8960" t="str">
            <v/>
          </cell>
        </row>
        <row r="8961">
          <cell r="S8961" t="str">
            <v/>
          </cell>
        </row>
        <row r="8962">
          <cell r="S8962" t="str">
            <v/>
          </cell>
        </row>
        <row r="8963">
          <cell r="S8963" t="str">
            <v/>
          </cell>
        </row>
        <row r="8964">
          <cell r="S8964" t="str">
            <v/>
          </cell>
        </row>
        <row r="8965">
          <cell r="S8965" t="str">
            <v/>
          </cell>
        </row>
        <row r="8966">
          <cell r="S8966" t="str">
            <v/>
          </cell>
        </row>
        <row r="8967">
          <cell r="S8967" t="str">
            <v/>
          </cell>
        </row>
        <row r="8968">
          <cell r="S8968" t="str">
            <v/>
          </cell>
        </row>
        <row r="8969">
          <cell r="S8969" t="str">
            <v/>
          </cell>
        </row>
        <row r="8970">
          <cell r="S8970" t="str">
            <v/>
          </cell>
        </row>
        <row r="8971">
          <cell r="S8971" t="str">
            <v/>
          </cell>
        </row>
        <row r="8972">
          <cell r="S8972" t="str">
            <v/>
          </cell>
        </row>
        <row r="8973">
          <cell r="S8973" t="str">
            <v/>
          </cell>
        </row>
        <row r="8974">
          <cell r="S8974" t="str">
            <v/>
          </cell>
        </row>
        <row r="8975">
          <cell r="S8975" t="str">
            <v/>
          </cell>
        </row>
        <row r="8976">
          <cell r="S8976" t="str">
            <v/>
          </cell>
        </row>
        <row r="8977">
          <cell r="S8977" t="str">
            <v/>
          </cell>
        </row>
        <row r="8978">
          <cell r="S8978" t="str">
            <v/>
          </cell>
        </row>
        <row r="8979">
          <cell r="S8979" t="str">
            <v/>
          </cell>
        </row>
        <row r="8980">
          <cell r="S8980" t="str">
            <v/>
          </cell>
        </row>
        <row r="8981">
          <cell r="S8981" t="str">
            <v/>
          </cell>
        </row>
        <row r="8982">
          <cell r="S8982" t="str">
            <v/>
          </cell>
        </row>
        <row r="8983">
          <cell r="S8983" t="str">
            <v/>
          </cell>
        </row>
        <row r="8984">
          <cell r="S8984" t="str">
            <v/>
          </cell>
        </row>
        <row r="8985">
          <cell r="S8985" t="str">
            <v/>
          </cell>
        </row>
        <row r="8986">
          <cell r="S8986" t="str">
            <v/>
          </cell>
        </row>
        <row r="8987">
          <cell r="S8987" t="str">
            <v/>
          </cell>
        </row>
        <row r="8988">
          <cell r="S8988" t="str">
            <v/>
          </cell>
        </row>
        <row r="8989">
          <cell r="S8989" t="str">
            <v/>
          </cell>
        </row>
        <row r="8990">
          <cell r="S8990" t="str">
            <v/>
          </cell>
        </row>
        <row r="8991">
          <cell r="S8991" t="str">
            <v/>
          </cell>
        </row>
        <row r="8992">
          <cell r="S8992" t="str">
            <v/>
          </cell>
        </row>
        <row r="8993">
          <cell r="S8993" t="str">
            <v/>
          </cell>
        </row>
        <row r="8994">
          <cell r="S8994" t="str">
            <v/>
          </cell>
        </row>
        <row r="8995">
          <cell r="S8995" t="str">
            <v/>
          </cell>
        </row>
        <row r="8996">
          <cell r="S8996" t="str">
            <v/>
          </cell>
        </row>
        <row r="8997">
          <cell r="S8997" t="str">
            <v/>
          </cell>
        </row>
        <row r="8998">
          <cell r="S8998" t="str">
            <v/>
          </cell>
        </row>
        <row r="8999">
          <cell r="S8999" t="str">
            <v/>
          </cell>
        </row>
        <row r="9000">
          <cell r="S9000" t="str">
            <v/>
          </cell>
        </row>
        <row r="9001">
          <cell r="S9001" t="str">
            <v/>
          </cell>
        </row>
        <row r="9002">
          <cell r="S9002" t="str">
            <v/>
          </cell>
        </row>
        <row r="9003">
          <cell r="S9003" t="str">
            <v/>
          </cell>
        </row>
        <row r="9004">
          <cell r="S9004" t="str">
            <v/>
          </cell>
        </row>
        <row r="9005">
          <cell r="S9005" t="str">
            <v/>
          </cell>
        </row>
        <row r="9006">
          <cell r="S9006" t="str">
            <v/>
          </cell>
        </row>
        <row r="9007">
          <cell r="S9007" t="str">
            <v/>
          </cell>
        </row>
        <row r="9008">
          <cell r="S9008" t="str">
            <v/>
          </cell>
        </row>
        <row r="9009">
          <cell r="S9009" t="str">
            <v/>
          </cell>
        </row>
        <row r="9010">
          <cell r="S9010" t="str">
            <v/>
          </cell>
        </row>
        <row r="9011">
          <cell r="S9011" t="str">
            <v/>
          </cell>
        </row>
        <row r="9012">
          <cell r="S9012" t="str">
            <v/>
          </cell>
        </row>
        <row r="9013">
          <cell r="S9013" t="str">
            <v/>
          </cell>
        </row>
        <row r="9014">
          <cell r="S9014" t="str">
            <v/>
          </cell>
        </row>
        <row r="9015">
          <cell r="S9015" t="str">
            <v/>
          </cell>
        </row>
        <row r="9016">
          <cell r="S9016" t="str">
            <v/>
          </cell>
        </row>
        <row r="9017">
          <cell r="S9017" t="str">
            <v/>
          </cell>
        </row>
        <row r="9018">
          <cell r="S9018" t="str">
            <v/>
          </cell>
        </row>
        <row r="9019">
          <cell r="S9019" t="str">
            <v/>
          </cell>
        </row>
        <row r="9020">
          <cell r="S9020" t="str">
            <v/>
          </cell>
        </row>
        <row r="9021">
          <cell r="S9021" t="str">
            <v/>
          </cell>
        </row>
        <row r="9022">
          <cell r="S9022" t="str">
            <v/>
          </cell>
        </row>
        <row r="9023">
          <cell r="S9023" t="str">
            <v/>
          </cell>
        </row>
        <row r="9024">
          <cell r="S9024" t="str">
            <v/>
          </cell>
        </row>
        <row r="9025">
          <cell r="S9025" t="str">
            <v/>
          </cell>
        </row>
        <row r="9026">
          <cell r="S9026" t="str">
            <v/>
          </cell>
        </row>
        <row r="9027">
          <cell r="S9027" t="str">
            <v/>
          </cell>
        </row>
        <row r="9028">
          <cell r="S9028" t="str">
            <v/>
          </cell>
        </row>
        <row r="9029">
          <cell r="S9029" t="str">
            <v/>
          </cell>
        </row>
        <row r="9030">
          <cell r="S9030" t="str">
            <v/>
          </cell>
        </row>
        <row r="9031">
          <cell r="S9031" t="str">
            <v/>
          </cell>
        </row>
        <row r="9032">
          <cell r="S9032" t="str">
            <v/>
          </cell>
        </row>
        <row r="9033">
          <cell r="S9033" t="str">
            <v/>
          </cell>
        </row>
        <row r="9034">
          <cell r="S9034" t="str">
            <v/>
          </cell>
        </row>
        <row r="9035">
          <cell r="S9035" t="str">
            <v/>
          </cell>
        </row>
        <row r="9036">
          <cell r="S9036" t="str">
            <v/>
          </cell>
        </row>
        <row r="9037">
          <cell r="S9037" t="str">
            <v/>
          </cell>
        </row>
        <row r="9038">
          <cell r="S9038" t="str">
            <v/>
          </cell>
        </row>
        <row r="9039">
          <cell r="S9039" t="str">
            <v/>
          </cell>
        </row>
        <row r="9040">
          <cell r="S9040" t="str">
            <v/>
          </cell>
        </row>
        <row r="9041">
          <cell r="S9041" t="str">
            <v/>
          </cell>
        </row>
        <row r="9042">
          <cell r="S9042" t="str">
            <v/>
          </cell>
        </row>
        <row r="9043">
          <cell r="S9043" t="str">
            <v/>
          </cell>
        </row>
        <row r="9044">
          <cell r="S9044" t="str">
            <v/>
          </cell>
        </row>
        <row r="9045">
          <cell r="S9045" t="str">
            <v/>
          </cell>
        </row>
        <row r="9046">
          <cell r="S9046" t="str">
            <v/>
          </cell>
        </row>
        <row r="9047">
          <cell r="S9047" t="str">
            <v/>
          </cell>
        </row>
        <row r="9048">
          <cell r="S9048" t="str">
            <v/>
          </cell>
        </row>
        <row r="9049">
          <cell r="S9049" t="str">
            <v/>
          </cell>
        </row>
        <row r="9050">
          <cell r="S9050" t="str">
            <v/>
          </cell>
        </row>
        <row r="9051">
          <cell r="S9051" t="str">
            <v/>
          </cell>
        </row>
        <row r="9052">
          <cell r="S9052" t="str">
            <v/>
          </cell>
        </row>
        <row r="9053">
          <cell r="S9053" t="str">
            <v/>
          </cell>
        </row>
        <row r="9054">
          <cell r="S9054" t="str">
            <v/>
          </cell>
        </row>
        <row r="9055">
          <cell r="S9055" t="str">
            <v/>
          </cell>
        </row>
        <row r="9056">
          <cell r="S9056" t="str">
            <v/>
          </cell>
        </row>
        <row r="9057">
          <cell r="S9057" t="str">
            <v/>
          </cell>
        </row>
        <row r="9058">
          <cell r="S9058" t="str">
            <v/>
          </cell>
        </row>
        <row r="9059">
          <cell r="S9059" t="str">
            <v/>
          </cell>
        </row>
        <row r="9060">
          <cell r="S9060" t="str">
            <v/>
          </cell>
        </row>
        <row r="9061">
          <cell r="S9061" t="str">
            <v/>
          </cell>
        </row>
        <row r="9062">
          <cell r="S9062" t="str">
            <v/>
          </cell>
        </row>
        <row r="9063">
          <cell r="S9063" t="str">
            <v/>
          </cell>
        </row>
        <row r="9064">
          <cell r="S9064" t="str">
            <v/>
          </cell>
        </row>
        <row r="9065">
          <cell r="S9065" t="str">
            <v/>
          </cell>
        </row>
        <row r="9066">
          <cell r="S9066" t="str">
            <v/>
          </cell>
        </row>
        <row r="9067">
          <cell r="S9067" t="str">
            <v/>
          </cell>
        </row>
        <row r="9068">
          <cell r="S9068" t="str">
            <v/>
          </cell>
        </row>
        <row r="9069">
          <cell r="S9069" t="str">
            <v/>
          </cell>
        </row>
        <row r="9070">
          <cell r="S9070" t="str">
            <v/>
          </cell>
        </row>
        <row r="9071">
          <cell r="S9071" t="str">
            <v/>
          </cell>
        </row>
        <row r="9072">
          <cell r="S9072" t="str">
            <v/>
          </cell>
        </row>
        <row r="9073">
          <cell r="S9073" t="str">
            <v/>
          </cell>
        </row>
        <row r="9074">
          <cell r="S9074" t="str">
            <v/>
          </cell>
        </row>
        <row r="9075">
          <cell r="S9075" t="str">
            <v/>
          </cell>
        </row>
        <row r="9076">
          <cell r="S9076" t="str">
            <v/>
          </cell>
        </row>
        <row r="9077">
          <cell r="S9077" t="str">
            <v/>
          </cell>
        </row>
        <row r="9078">
          <cell r="S9078" t="str">
            <v/>
          </cell>
        </row>
        <row r="9079">
          <cell r="S9079" t="str">
            <v/>
          </cell>
        </row>
        <row r="9080">
          <cell r="S9080" t="str">
            <v/>
          </cell>
        </row>
        <row r="9081">
          <cell r="S9081" t="str">
            <v/>
          </cell>
        </row>
        <row r="9082">
          <cell r="S9082" t="str">
            <v/>
          </cell>
        </row>
        <row r="9083">
          <cell r="S9083" t="str">
            <v/>
          </cell>
        </row>
        <row r="9084">
          <cell r="S9084" t="str">
            <v/>
          </cell>
        </row>
        <row r="9085">
          <cell r="S9085" t="str">
            <v/>
          </cell>
        </row>
        <row r="9086">
          <cell r="S9086" t="str">
            <v/>
          </cell>
        </row>
        <row r="9087">
          <cell r="S9087" t="str">
            <v/>
          </cell>
        </row>
        <row r="9088">
          <cell r="S9088" t="str">
            <v/>
          </cell>
        </row>
        <row r="9089">
          <cell r="S9089" t="str">
            <v/>
          </cell>
        </row>
        <row r="9090">
          <cell r="S9090" t="str">
            <v/>
          </cell>
        </row>
        <row r="9091">
          <cell r="S9091" t="str">
            <v/>
          </cell>
        </row>
        <row r="9092">
          <cell r="S9092" t="str">
            <v/>
          </cell>
        </row>
        <row r="9093">
          <cell r="S9093" t="str">
            <v/>
          </cell>
        </row>
        <row r="9094">
          <cell r="S9094" t="str">
            <v/>
          </cell>
        </row>
        <row r="9095">
          <cell r="S9095" t="str">
            <v/>
          </cell>
        </row>
        <row r="9096">
          <cell r="S9096" t="str">
            <v/>
          </cell>
        </row>
        <row r="9097">
          <cell r="S9097" t="str">
            <v/>
          </cell>
        </row>
        <row r="9098">
          <cell r="S9098" t="str">
            <v/>
          </cell>
        </row>
        <row r="9099">
          <cell r="S9099" t="str">
            <v/>
          </cell>
        </row>
        <row r="9100">
          <cell r="S9100" t="str">
            <v/>
          </cell>
        </row>
        <row r="9101">
          <cell r="S9101" t="str">
            <v/>
          </cell>
        </row>
        <row r="9102">
          <cell r="S9102" t="str">
            <v/>
          </cell>
        </row>
        <row r="9103">
          <cell r="S9103" t="str">
            <v/>
          </cell>
        </row>
        <row r="9104">
          <cell r="S9104" t="str">
            <v/>
          </cell>
        </row>
        <row r="9105">
          <cell r="S9105" t="str">
            <v/>
          </cell>
        </row>
        <row r="9106">
          <cell r="S9106" t="str">
            <v/>
          </cell>
        </row>
        <row r="9107">
          <cell r="S9107" t="str">
            <v/>
          </cell>
        </row>
        <row r="9108">
          <cell r="S9108" t="str">
            <v/>
          </cell>
        </row>
        <row r="9109">
          <cell r="S9109" t="str">
            <v/>
          </cell>
        </row>
        <row r="9110">
          <cell r="S9110" t="str">
            <v/>
          </cell>
        </row>
        <row r="9111">
          <cell r="S9111" t="str">
            <v/>
          </cell>
        </row>
        <row r="9112">
          <cell r="S9112" t="str">
            <v/>
          </cell>
        </row>
        <row r="9113">
          <cell r="S9113" t="str">
            <v/>
          </cell>
        </row>
        <row r="9114">
          <cell r="S9114" t="str">
            <v/>
          </cell>
        </row>
        <row r="9115">
          <cell r="S9115" t="str">
            <v/>
          </cell>
        </row>
        <row r="9116">
          <cell r="S9116" t="str">
            <v/>
          </cell>
        </row>
        <row r="9117">
          <cell r="S9117" t="str">
            <v/>
          </cell>
        </row>
        <row r="9118">
          <cell r="S9118" t="str">
            <v/>
          </cell>
        </row>
        <row r="9119">
          <cell r="S9119" t="str">
            <v/>
          </cell>
        </row>
        <row r="9120">
          <cell r="S9120" t="str">
            <v/>
          </cell>
        </row>
        <row r="9121">
          <cell r="S9121" t="str">
            <v/>
          </cell>
        </row>
        <row r="9122">
          <cell r="S9122" t="str">
            <v/>
          </cell>
        </row>
        <row r="9123">
          <cell r="S9123" t="str">
            <v/>
          </cell>
        </row>
        <row r="9124">
          <cell r="S9124" t="str">
            <v/>
          </cell>
        </row>
        <row r="9125">
          <cell r="S9125" t="str">
            <v/>
          </cell>
        </row>
        <row r="9126">
          <cell r="S9126" t="str">
            <v/>
          </cell>
        </row>
        <row r="9127">
          <cell r="S9127" t="str">
            <v/>
          </cell>
        </row>
        <row r="9128">
          <cell r="S9128" t="str">
            <v/>
          </cell>
        </row>
        <row r="9129">
          <cell r="S9129" t="str">
            <v/>
          </cell>
        </row>
        <row r="9130">
          <cell r="S9130" t="str">
            <v/>
          </cell>
        </row>
        <row r="9131">
          <cell r="S9131" t="str">
            <v/>
          </cell>
        </row>
        <row r="9132">
          <cell r="S9132" t="str">
            <v/>
          </cell>
        </row>
        <row r="9133">
          <cell r="S9133" t="str">
            <v/>
          </cell>
        </row>
        <row r="9134">
          <cell r="S9134" t="str">
            <v/>
          </cell>
        </row>
        <row r="9135">
          <cell r="S9135" t="str">
            <v/>
          </cell>
        </row>
        <row r="9136">
          <cell r="S9136" t="str">
            <v/>
          </cell>
        </row>
        <row r="9137">
          <cell r="S9137" t="str">
            <v/>
          </cell>
        </row>
        <row r="9138">
          <cell r="S9138" t="str">
            <v/>
          </cell>
        </row>
        <row r="9139">
          <cell r="S9139" t="str">
            <v/>
          </cell>
        </row>
        <row r="9140">
          <cell r="S9140" t="str">
            <v/>
          </cell>
        </row>
        <row r="9141">
          <cell r="S9141" t="str">
            <v/>
          </cell>
        </row>
        <row r="9142">
          <cell r="S9142" t="str">
            <v/>
          </cell>
        </row>
        <row r="9143">
          <cell r="S9143" t="str">
            <v/>
          </cell>
        </row>
        <row r="9144">
          <cell r="S9144" t="str">
            <v/>
          </cell>
        </row>
        <row r="9145">
          <cell r="S9145" t="str">
            <v/>
          </cell>
        </row>
        <row r="9146">
          <cell r="S9146" t="str">
            <v/>
          </cell>
        </row>
        <row r="9147">
          <cell r="S9147" t="str">
            <v/>
          </cell>
        </row>
        <row r="9148">
          <cell r="S9148" t="str">
            <v/>
          </cell>
        </row>
        <row r="9149">
          <cell r="S9149" t="str">
            <v/>
          </cell>
        </row>
        <row r="9150">
          <cell r="S9150" t="str">
            <v/>
          </cell>
        </row>
        <row r="9151">
          <cell r="S9151" t="str">
            <v/>
          </cell>
        </row>
        <row r="9152">
          <cell r="S9152" t="str">
            <v/>
          </cell>
        </row>
        <row r="9153">
          <cell r="S9153" t="str">
            <v/>
          </cell>
        </row>
        <row r="9154">
          <cell r="S9154" t="str">
            <v/>
          </cell>
        </row>
        <row r="9155">
          <cell r="S9155" t="str">
            <v/>
          </cell>
        </row>
        <row r="9156">
          <cell r="S9156" t="str">
            <v/>
          </cell>
        </row>
        <row r="9157">
          <cell r="S9157" t="str">
            <v/>
          </cell>
        </row>
        <row r="9158">
          <cell r="S9158" t="str">
            <v/>
          </cell>
        </row>
        <row r="9159">
          <cell r="S9159" t="str">
            <v/>
          </cell>
        </row>
        <row r="9160">
          <cell r="S9160" t="str">
            <v/>
          </cell>
        </row>
        <row r="9161">
          <cell r="S9161" t="str">
            <v/>
          </cell>
        </row>
        <row r="9162">
          <cell r="S9162" t="str">
            <v/>
          </cell>
        </row>
        <row r="9163">
          <cell r="S9163" t="str">
            <v/>
          </cell>
        </row>
        <row r="9164">
          <cell r="S9164" t="str">
            <v/>
          </cell>
        </row>
        <row r="9165">
          <cell r="S9165" t="str">
            <v/>
          </cell>
        </row>
        <row r="9166">
          <cell r="S9166" t="str">
            <v/>
          </cell>
        </row>
        <row r="9167">
          <cell r="S9167" t="str">
            <v/>
          </cell>
        </row>
        <row r="9168">
          <cell r="S9168" t="str">
            <v/>
          </cell>
        </row>
        <row r="9169">
          <cell r="S9169" t="str">
            <v/>
          </cell>
        </row>
        <row r="9170">
          <cell r="S9170" t="str">
            <v/>
          </cell>
        </row>
        <row r="9171">
          <cell r="S9171" t="str">
            <v/>
          </cell>
        </row>
        <row r="9172">
          <cell r="S9172" t="str">
            <v/>
          </cell>
        </row>
        <row r="9173">
          <cell r="S9173" t="str">
            <v/>
          </cell>
        </row>
        <row r="9174">
          <cell r="S9174" t="str">
            <v/>
          </cell>
        </row>
        <row r="9175">
          <cell r="S9175" t="str">
            <v/>
          </cell>
        </row>
        <row r="9176">
          <cell r="S9176" t="str">
            <v/>
          </cell>
        </row>
        <row r="9177">
          <cell r="S9177" t="str">
            <v/>
          </cell>
        </row>
        <row r="9178">
          <cell r="S9178" t="str">
            <v/>
          </cell>
        </row>
        <row r="9179">
          <cell r="S9179" t="str">
            <v/>
          </cell>
        </row>
        <row r="9180">
          <cell r="S9180" t="str">
            <v/>
          </cell>
        </row>
        <row r="9181">
          <cell r="S9181" t="str">
            <v/>
          </cell>
        </row>
        <row r="9182">
          <cell r="S9182" t="str">
            <v/>
          </cell>
        </row>
        <row r="9183">
          <cell r="S9183" t="str">
            <v/>
          </cell>
        </row>
        <row r="9184">
          <cell r="S9184" t="str">
            <v/>
          </cell>
        </row>
        <row r="9185">
          <cell r="S9185" t="str">
            <v/>
          </cell>
        </row>
        <row r="9186">
          <cell r="S9186" t="str">
            <v/>
          </cell>
        </row>
        <row r="9187">
          <cell r="S9187" t="str">
            <v/>
          </cell>
        </row>
        <row r="9188">
          <cell r="S9188" t="str">
            <v/>
          </cell>
        </row>
        <row r="9189">
          <cell r="S9189" t="str">
            <v/>
          </cell>
        </row>
        <row r="9190">
          <cell r="S9190" t="str">
            <v/>
          </cell>
        </row>
        <row r="9191">
          <cell r="S9191" t="str">
            <v/>
          </cell>
        </row>
        <row r="9192">
          <cell r="S9192" t="str">
            <v/>
          </cell>
        </row>
        <row r="9193">
          <cell r="S9193" t="str">
            <v/>
          </cell>
        </row>
        <row r="9194">
          <cell r="S9194" t="str">
            <v/>
          </cell>
        </row>
        <row r="9195">
          <cell r="S9195" t="str">
            <v/>
          </cell>
        </row>
        <row r="9196">
          <cell r="S9196" t="str">
            <v/>
          </cell>
        </row>
        <row r="9197">
          <cell r="S9197" t="str">
            <v/>
          </cell>
        </row>
        <row r="9198">
          <cell r="S9198" t="str">
            <v/>
          </cell>
        </row>
        <row r="9199">
          <cell r="S9199" t="str">
            <v/>
          </cell>
        </row>
        <row r="9200">
          <cell r="S9200" t="str">
            <v/>
          </cell>
        </row>
        <row r="9201">
          <cell r="S9201" t="str">
            <v/>
          </cell>
        </row>
        <row r="9202">
          <cell r="S9202" t="str">
            <v/>
          </cell>
        </row>
        <row r="9203">
          <cell r="S9203" t="str">
            <v/>
          </cell>
        </row>
        <row r="9204">
          <cell r="S9204" t="str">
            <v/>
          </cell>
        </row>
        <row r="9205">
          <cell r="S9205" t="str">
            <v/>
          </cell>
        </row>
        <row r="9206">
          <cell r="S9206" t="str">
            <v/>
          </cell>
        </row>
        <row r="9207">
          <cell r="S9207" t="str">
            <v/>
          </cell>
        </row>
        <row r="9208">
          <cell r="S9208" t="str">
            <v/>
          </cell>
        </row>
        <row r="9209">
          <cell r="S9209" t="str">
            <v/>
          </cell>
        </row>
        <row r="9210">
          <cell r="S9210" t="str">
            <v/>
          </cell>
        </row>
        <row r="9211">
          <cell r="S9211" t="str">
            <v/>
          </cell>
        </row>
        <row r="9212">
          <cell r="S9212" t="str">
            <v/>
          </cell>
        </row>
        <row r="9213">
          <cell r="S9213" t="str">
            <v/>
          </cell>
        </row>
        <row r="9214">
          <cell r="S9214" t="str">
            <v/>
          </cell>
        </row>
        <row r="9215">
          <cell r="S9215" t="str">
            <v/>
          </cell>
        </row>
        <row r="9216">
          <cell r="S9216" t="str">
            <v/>
          </cell>
        </row>
        <row r="9217">
          <cell r="S9217" t="str">
            <v/>
          </cell>
        </row>
        <row r="9218">
          <cell r="S9218" t="str">
            <v/>
          </cell>
        </row>
        <row r="9219">
          <cell r="S9219" t="str">
            <v/>
          </cell>
        </row>
        <row r="9220">
          <cell r="S9220" t="str">
            <v/>
          </cell>
        </row>
        <row r="9221">
          <cell r="S9221" t="str">
            <v/>
          </cell>
        </row>
        <row r="9222">
          <cell r="S9222" t="str">
            <v/>
          </cell>
        </row>
        <row r="9223">
          <cell r="S9223" t="str">
            <v/>
          </cell>
        </row>
        <row r="9224">
          <cell r="S9224" t="str">
            <v/>
          </cell>
        </row>
        <row r="9225">
          <cell r="S9225" t="str">
            <v/>
          </cell>
        </row>
        <row r="9226">
          <cell r="S9226" t="str">
            <v/>
          </cell>
        </row>
        <row r="9227">
          <cell r="S9227" t="str">
            <v/>
          </cell>
        </row>
        <row r="9228">
          <cell r="S9228" t="str">
            <v/>
          </cell>
        </row>
        <row r="9229">
          <cell r="S9229" t="str">
            <v/>
          </cell>
        </row>
        <row r="9230">
          <cell r="S9230" t="str">
            <v/>
          </cell>
        </row>
        <row r="9231">
          <cell r="S9231" t="str">
            <v/>
          </cell>
        </row>
        <row r="9232">
          <cell r="S9232" t="str">
            <v/>
          </cell>
        </row>
        <row r="9233">
          <cell r="S9233" t="str">
            <v/>
          </cell>
        </row>
        <row r="9234">
          <cell r="S9234" t="str">
            <v/>
          </cell>
        </row>
        <row r="9235">
          <cell r="S9235" t="str">
            <v/>
          </cell>
        </row>
        <row r="9236">
          <cell r="S9236" t="str">
            <v/>
          </cell>
        </row>
        <row r="9237">
          <cell r="S9237" t="str">
            <v/>
          </cell>
        </row>
        <row r="9238">
          <cell r="S9238" t="str">
            <v/>
          </cell>
        </row>
        <row r="9239">
          <cell r="S9239" t="str">
            <v/>
          </cell>
        </row>
        <row r="9240">
          <cell r="S9240" t="str">
            <v/>
          </cell>
        </row>
        <row r="9241">
          <cell r="S9241" t="str">
            <v/>
          </cell>
        </row>
        <row r="9242">
          <cell r="S9242" t="str">
            <v/>
          </cell>
        </row>
        <row r="9243">
          <cell r="S9243" t="str">
            <v/>
          </cell>
        </row>
        <row r="9244">
          <cell r="S9244" t="str">
            <v/>
          </cell>
        </row>
        <row r="9245">
          <cell r="S9245" t="str">
            <v/>
          </cell>
        </row>
        <row r="9246">
          <cell r="S9246" t="str">
            <v/>
          </cell>
        </row>
        <row r="9247">
          <cell r="S9247" t="str">
            <v/>
          </cell>
        </row>
        <row r="9248">
          <cell r="S9248" t="str">
            <v/>
          </cell>
        </row>
        <row r="9249">
          <cell r="S9249" t="str">
            <v/>
          </cell>
        </row>
        <row r="9250">
          <cell r="S9250" t="str">
            <v/>
          </cell>
        </row>
        <row r="9251">
          <cell r="S9251" t="str">
            <v/>
          </cell>
        </row>
        <row r="9252">
          <cell r="S9252" t="str">
            <v/>
          </cell>
        </row>
        <row r="9253">
          <cell r="S9253" t="str">
            <v/>
          </cell>
        </row>
        <row r="9254">
          <cell r="S9254" t="str">
            <v/>
          </cell>
        </row>
        <row r="9255">
          <cell r="S9255" t="str">
            <v/>
          </cell>
        </row>
        <row r="9256">
          <cell r="S9256" t="str">
            <v/>
          </cell>
        </row>
        <row r="9257">
          <cell r="S9257" t="str">
            <v/>
          </cell>
        </row>
        <row r="9258">
          <cell r="S9258" t="str">
            <v/>
          </cell>
        </row>
        <row r="9259">
          <cell r="S9259" t="str">
            <v/>
          </cell>
        </row>
        <row r="9260">
          <cell r="S9260" t="str">
            <v/>
          </cell>
        </row>
        <row r="9261">
          <cell r="S9261" t="str">
            <v/>
          </cell>
        </row>
        <row r="9262">
          <cell r="S9262" t="str">
            <v/>
          </cell>
        </row>
        <row r="9263">
          <cell r="S9263" t="str">
            <v/>
          </cell>
        </row>
        <row r="9264">
          <cell r="S9264" t="str">
            <v/>
          </cell>
        </row>
        <row r="9265">
          <cell r="S9265" t="str">
            <v/>
          </cell>
        </row>
        <row r="9266">
          <cell r="S9266" t="str">
            <v/>
          </cell>
        </row>
        <row r="9267">
          <cell r="S9267" t="str">
            <v/>
          </cell>
        </row>
        <row r="9268">
          <cell r="S9268" t="str">
            <v/>
          </cell>
        </row>
        <row r="9269">
          <cell r="S9269" t="str">
            <v/>
          </cell>
        </row>
        <row r="9270">
          <cell r="S9270" t="str">
            <v/>
          </cell>
        </row>
        <row r="9271">
          <cell r="S9271" t="str">
            <v/>
          </cell>
        </row>
        <row r="9272">
          <cell r="S9272" t="str">
            <v/>
          </cell>
        </row>
        <row r="9273">
          <cell r="S9273" t="str">
            <v/>
          </cell>
        </row>
        <row r="9274">
          <cell r="S9274" t="str">
            <v/>
          </cell>
        </row>
        <row r="9275">
          <cell r="S9275" t="str">
            <v/>
          </cell>
        </row>
        <row r="9276">
          <cell r="S9276" t="str">
            <v/>
          </cell>
        </row>
        <row r="9277">
          <cell r="S9277" t="str">
            <v/>
          </cell>
        </row>
        <row r="9278">
          <cell r="S9278" t="str">
            <v/>
          </cell>
        </row>
        <row r="9279">
          <cell r="S9279" t="str">
            <v/>
          </cell>
        </row>
        <row r="9280">
          <cell r="S9280" t="str">
            <v/>
          </cell>
        </row>
        <row r="9281">
          <cell r="S9281" t="str">
            <v/>
          </cell>
        </row>
        <row r="9282">
          <cell r="S9282" t="str">
            <v/>
          </cell>
        </row>
        <row r="9283">
          <cell r="S9283" t="str">
            <v/>
          </cell>
        </row>
        <row r="9284">
          <cell r="S9284" t="str">
            <v/>
          </cell>
        </row>
        <row r="9285">
          <cell r="S9285" t="str">
            <v/>
          </cell>
        </row>
        <row r="9286">
          <cell r="S9286" t="str">
            <v/>
          </cell>
        </row>
        <row r="9287">
          <cell r="S9287" t="str">
            <v/>
          </cell>
        </row>
        <row r="9288">
          <cell r="S9288" t="str">
            <v/>
          </cell>
        </row>
        <row r="9289">
          <cell r="S9289" t="str">
            <v/>
          </cell>
        </row>
        <row r="9290">
          <cell r="S9290" t="str">
            <v/>
          </cell>
        </row>
        <row r="9291">
          <cell r="S9291" t="str">
            <v/>
          </cell>
        </row>
        <row r="9292">
          <cell r="S9292" t="str">
            <v/>
          </cell>
        </row>
        <row r="9293">
          <cell r="S9293" t="str">
            <v/>
          </cell>
        </row>
        <row r="9294">
          <cell r="S9294" t="str">
            <v/>
          </cell>
        </row>
        <row r="9295">
          <cell r="S9295" t="str">
            <v/>
          </cell>
        </row>
        <row r="9296">
          <cell r="S9296" t="str">
            <v/>
          </cell>
        </row>
        <row r="9297">
          <cell r="S9297" t="str">
            <v/>
          </cell>
        </row>
        <row r="9298">
          <cell r="S9298" t="str">
            <v/>
          </cell>
        </row>
        <row r="9299">
          <cell r="S9299" t="str">
            <v/>
          </cell>
        </row>
        <row r="9300">
          <cell r="S9300" t="str">
            <v/>
          </cell>
        </row>
        <row r="9301">
          <cell r="S9301" t="str">
            <v/>
          </cell>
        </row>
        <row r="9302">
          <cell r="S9302" t="str">
            <v/>
          </cell>
        </row>
        <row r="9303">
          <cell r="S9303" t="str">
            <v/>
          </cell>
        </row>
        <row r="9304">
          <cell r="S9304" t="str">
            <v/>
          </cell>
        </row>
        <row r="9305">
          <cell r="S9305" t="str">
            <v/>
          </cell>
        </row>
        <row r="9306">
          <cell r="S9306" t="str">
            <v/>
          </cell>
        </row>
        <row r="9307">
          <cell r="S9307" t="str">
            <v/>
          </cell>
        </row>
        <row r="9308">
          <cell r="S9308" t="str">
            <v/>
          </cell>
        </row>
        <row r="9309">
          <cell r="S9309" t="str">
            <v/>
          </cell>
        </row>
        <row r="9310">
          <cell r="S9310" t="str">
            <v/>
          </cell>
        </row>
        <row r="9311">
          <cell r="S9311" t="str">
            <v/>
          </cell>
        </row>
        <row r="9312">
          <cell r="S9312" t="str">
            <v/>
          </cell>
        </row>
        <row r="9313">
          <cell r="S9313" t="str">
            <v/>
          </cell>
        </row>
        <row r="9314">
          <cell r="S9314" t="str">
            <v/>
          </cell>
        </row>
        <row r="9315">
          <cell r="S9315" t="str">
            <v/>
          </cell>
        </row>
        <row r="9316">
          <cell r="S9316" t="str">
            <v/>
          </cell>
        </row>
        <row r="9317">
          <cell r="S9317" t="str">
            <v/>
          </cell>
        </row>
        <row r="9318">
          <cell r="S9318" t="str">
            <v/>
          </cell>
        </row>
        <row r="9319">
          <cell r="S9319" t="str">
            <v/>
          </cell>
        </row>
        <row r="9320">
          <cell r="S9320" t="str">
            <v/>
          </cell>
        </row>
        <row r="9321">
          <cell r="S9321" t="str">
            <v/>
          </cell>
        </row>
        <row r="9322">
          <cell r="S9322" t="str">
            <v/>
          </cell>
        </row>
        <row r="9323">
          <cell r="S9323" t="str">
            <v/>
          </cell>
        </row>
        <row r="9324">
          <cell r="S9324" t="str">
            <v/>
          </cell>
        </row>
        <row r="9325">
          <cell r="S9325" t="str">
            <v/>
          </cell>
        </row>
        <row r="9326">
          <cell r="S9326" t="str">
            <v/>
          </cell>
        </row>
        <row r="9327">
          <cell r="S9327" t="str">
            <v/>
          </cell>
        </row>
        <row r="9328">
          <cell r="S9328" t="str">
            <v/>
          </cell>
        </row>
        <row r="9329">
          <cell r="S9329" t="str">
            <v/>
          </cell>
        </row>
        <row r="9330">
          <cell r="S9330" t="str">
            <v/>
          </cell>
        </row>
        <row r="9331">
          <cell r="S9331" t="str">
            <v/>
          </cell>
        </row>
        <row r="9332">
          <cell r="S9332" t="str">
            <v/>
          </cell>
        </row>
        <row r="9333">
          <cell r="S9333" t="str">
            <v/>
          </cell>
        </row>
        <row r="9334">
          <cell r="S9334" t="str">
            <v/>
          </cell>
        </row>
        <row r="9335">
          <cell r="S9335" t="str">
            <v/>
          </cell>
        </row>
        <row r="9336">
          <cell r="S9336" t="str">
            <v/>
          </cell>
        </row>
        <row r="9337">
          <cell r="S9337" t="str">
            <v/>
          </cell>
        </row>
        <row r="9338">
          <cell r="S9338" t="str">
            <v/>
          </cell>
        </row>
        <row r="9339">
          <cell r="S9339" t="str">
            <v/>
          </cell>
        </row>
        <row r="9340">
          <cell r="S9340" t="str">
            <v/>
          </cell>
        </row>
        <row r="9341">
          <cell r="S9341" t="str">
            <v/>
          </cell>
        </row>
        <row r="9342">
          <cell r="S9342" t="str">
            <v/>
          </cell>
        </row>
        <row r="9343">
          <cell r="S9343" t="str">
            <v/>
          </cell>
        </row>
        <row r="9344">
          <cell r="S9344" t="str">
            <v/>
          </cell>
        </row>
        <row r="9345">
          <cell r="S9345" t="str">
            <v/>
          </cell>
        </row>
        <row r="9346">
          <cell r="S9346" t="str">
            <v/>
          </cell>
        </row>
        <row r="9347">
          <cell r="S9347" t="str">
            <v/>
          </cell>
        </row>
        <row r="9348">
          <cell r="S9348" t="str">
            <v/>
          </cell>
        </row>
        <row r="9349">
          <cell r="S9349" t="str">
            <v/>
          </cell>
        </row>
        <row r="9350">
          <cell r="S9350" t="str">
            <v/>
          </cell>
        </row>
        <row r="9351">
          <cell r="S9351" t="str">
            <v/>
          </cell>
        </row>
        <row r="9352">
          <cell r="S9352" t="str">
            <v/>
          </cell>
        </row>
        <row r="9353">
          <cell r="S9353" t="str">
            <v/>
          </cell>
        </row>
        <row r="9354">
          <cell r="S9354" t="str">
            <v/>
          </cell>
        </row>
        <row r="9355">
          <cell r="S9355" t="str">
            <v/>
          </cell>
        </row>
        <row r="9356">
          <cell r="S9356" t="str">
            <v/>
          </cell>
        </row>
        <row r="9357">
          <cell r="S9357" t="str">
            <v/>
          </cell>
        </row>
        <row r="9358">
          <cell r="S9358" t="str">
            <v/>
          </cell>
        </row>
        <row r="9359">
          <cell r="S9359" t="str">
            <v/>
          </cell>
        </row>
        <row r="9360">
          <cell r="S9360" t="str">
            <v/>
          </cell>
        </row>
        <row r="9361">
          <cell r="S9361" t="str">
            <v/>
          </cell>
        </row>
        <row r="9362">
          <cell r="S9362" t="str">
            <v/>
          </cell>
        </row>
        <row r="9363">
          <cell r="S9363" t="str">
            <v/>
          </cell>
        </row>
        <row r="9364">
          <cell r="S9364" t="str">
            <v/>
          </cell>
        </row>
        <row r="9365">
          <cell r="S9365" t="str">
            <v/>
          </cell>
        </row>
        <row r="9366">
          <cell r="S9366" t="str">
            <v/>
          </cell>
        </row>
        <row r="9367">
          <cell r="S9367" t="str">
            <v/>
          </cell>
        </row>
        <row r="9368">
          <cell r="S9368" t="str">
            <v/>
          </cell>
        </row>
        <row r="9369">
          <cell r="S9369" t="str">
            <v/>
          </cell>
        </row>
        <row r="9370">
          <cell r="S9370" t="str">
            <v/>
          </cell>
        </row>
        <row r="9371">
          <cell r="S9371" t="str">
            <v/>
          </cell>
        </row>
        <row r="9372">
          <cell r="S9372" t="str">
            <v/>
          </cell>
        </row>
        <row r="9373">
          <cell r="S9373" t="str">
            <v/>
          </cell>
        </row>
        <row r="9374">
          <cell r="S9374" t="str">
            <v/>
          </cell>
        </row>
        <row r="9375">
          <cell r="S9375" t="str">
            <v/>
          </cell>
        </row>
        <row r="9376">
          <cell r="S9376" t="str">
            <v/>
          </cell>
        </row>
        <row r="9377">
          <cell r="S9377" t="str">
            <v/>
          </cell>
        </row>
        <row r="9378">
          <cell r="S9378" t="str">
            <v/>
          </cell>
        </row>
        <row r="9379">
          <cell r="S9379" t="str">
            <v/>
          </cell>
        </row>
        <row r="9380">
          <cell r="S9380" t="str">
            <v/>
          </cell>
        </row>
        <row r="9381">
          <cell r="S9381" t="str">
            <v/>
          </cell>
        </row>
        <row r="9382">
          <cell r="S9382" t="str">
            <v/>
          </cell>
        </row>
        <row r="9383">
          <cell r="S9383" t="str">
            <v/>
          </cell>
        </row>
        <row r="9384">
          <cell r="S9384" t="str">
            <v/>
          </cell>
        </row>
        <row r="9385">
          <cell r="S9385" t="str">
            <v/>
          </cell>
        </row>
        <row r="9386">
          <cell r="S9386" t="str">
            <v/>
          </cell>
        </row>
        <row r="9387">
          <cell r="S9387" t="str">
            <v/>
          </cell>
        </row>
        <row r="9388">
          <cell r="S9388" t="str">
            <v/>
          </cell>
        </row>
        <row r="9389">
          <cell r="S9389" t="str">
            <v/>
          </cell>
        </row>
        <row r="9390">
          <cell r="S9390" t="str">
            <v/>
          </cell>
        </row>
        <row r="9391">
          <cell r="S9391" t="str">
            <v/>
          </cell>
        </row>
        <row r="9392">
          <cell r="S9392" t="str">
            <v/>
          </cell>
        </row>
        <row r="9393">
          <cell r="S9393" t="str">
            <v/>
          </cell>
        </row>
        <row r="9394">
          <cell r="S9394" t="str">
            <v/>
          </cell>
        </row>
        <row r="9395">
          <cell r="S9395" t="str">
            <v/>
          </cell>
        </row>
        <row r="9396">
          <cell r="S9396" t="str">
            <v/>
          </cell>
        </row>
        <row r="9397">
          <cell r="S9397" t="str">
            <v/>
          </cell>
        </row>
        <row r="9398">
          <cell r="S9398" t="str">
            <v/>
          </cell>
        </row>
        <row r="9399">
          <cell r="S9399" t="str">
            <v/>
          </cell>
        </row>
        <row r="9400">
          <cell r="S9400" t="str">
            <v/>
          </cell>
        </row>
        <row r="9401">
          <cell r="S9401" t="str">
            <v/>
          </cell>
        </row>
        <row r="9402">
          <cell r="S9402" t="str">
            <v/>
          </cell>
        </row>
        <row r="9403">
          <cell r="S9403" t="str">
            <v/>
          </cell>
        </row>
        <row r="9404">
          <cell r="S9404" t="str">
            <v/>
          </cell>
        </row>
        <row r="9405">
          <cell r="S9405" t="str">
            <v/>
          </cell>
        </row>
        <row r="9406">
          <cell r="S9406" t="str">
            <v/>
          </cell>
        </row>
        <row r="9407">
          <cell r="S9407" t="str">
            <v/>
          </cell>
        </row>
        <row r="9408">
          <cell r="S9408" t="str">
            <v/>
          </cell>
        </row>
        <row r="9409">
          <cell r="S9409" t="str">
            <v/>
          </cell>
        </row>
        <row r="9410">
          <cell r="S9410" t="str">
            <v/>
          </cell>
        </row>
        <row r="9411">
          <cell r="S9411" t="str">
            <v/>
          </cell>
        </row>
        <row r="9412">
          <cell r="S9412" t="str">
            <v/>
          </cell>
        </row>
        <row r="9413">
          <cell r="S9413" t="str">
            <v/>
          </cell>
        </row>
        <row r="9414">
          <cell r="S9414" t="str">
            <v/>
          </cell>
        </row>
        <row r="9415">
          <cell r="S9415" t="str">
            <v/>
          </cell>
        </row>
        <row r="9416">
          <cell r="S9416" t="str">
            <v/>
          </cell>
        </row>
        <row r="9417">
          <cell r="S9417" t="str">
            <v/>
          </cell>
        </row>
        <row r="9418">
          <cell r="S9418" t="str">
            <v/>
          </cell>
        </row>
        <row r="9419">
          <cell r="S9419" t="str">
            <v/>
          </cell>
        </row>
        <row r="9420">
          <cell r="S9420" t="str">
            <v/>
          </cell>
        </row>
        <row r="9421">
          <cell r="S9421" t="str">
            <v/>
          </cell>
        </row>
        <row r="9422">
          <cell r="S9422" t="str">
            <v/>
          </cell>
        </row>
        <row r="9423">
          <cell r="S9423" t="str">
            <v/>
          </cell>
        </row>
        <row r="9424">
          <cell r="S9424" t="str">
            <v/>
          </cell>
        </row>
        <row r="9425">
          <cell r="S9425" t="str">
            <v/>
          </cell>
        </row>
        <row r="9426">
          <cell r="S9426" t="str">
            <v/>
          </cell>
        </row>
        <row r="9427">
          <cell r="S9427" t="str">
            <v/>
          </cell>
        </row>
        <row r="9428">
          <cell r="S9428" t="str">
            <v/>
          </cell>
        </row>
        <row r="9429">
          <cell r="S9429" t="str">
            <v/>
          </cell>
        </row>
        <row r="9430">
          <cell r="S9430" t="str">
            <v/>
          </cell>
        </row>
        <row r="9431">
          <cell r="S9431" t="str">
            <v/>
          </cell>
        </row>
        <row r="9432">
          <cell r="S9432" t="str">
            <v/>
          </cell>
        </row>
        <row r="9433">
          <cell r="S9433" t="str">
            <v/>
          </cell>
        </row>
        <row r="9434">
          <cell r="S9434" t="str">
            <v/>
          </cell>
        </row>
        <row r="9435">
          <cell r="S9435" t="str">
            <v/>
          </cell>
        </row>
        <row r="9436">
          <cell r="S9436" t="str">
            <v/>
          </cell>
        </row>
        <row r="9437">
          <cell r="S9437" t="str">
            <v/>
          </cell>
        </row>
        <row r="9438">
          <cell r="S9438" t="str">
            <v/>
          </cell>
        </row>
        <row r="9439">
          <cell r="S9439" t="str">
            <v/>
          </cell>
        </row>
        <row r="9440">
          <cell r="S9440" t="str">
            <v/>
          </cell>
        </row>
        <row r="9441">
          <cell r="S9441" t="str">
            <v/>
          </cell>
        </row>
        <row r="9442">
          <cell r="S9442" t="str">
            <v/>
          </cell>
        </row>
        <row r="9443">
          <cell r="S9443" t="str">
            <v/>
          </cell>
        </row>
        <row r="9444">
          <cell r="S9444" t="str">
            <v/>
          </cell>
        </row>
        <row r="9445">
          <cell r="S9445" t="str">
            <v/>
          </cell>
        </row>
        <row r="9446">
          <cell r="S9446" t="str">
            <v/>
          </cell>
        </row>
        <row r="9447">
          <cell r="S9447" t="str">
            <v/>
          </cell>
        </row>
        <row r="9448">
          <cell r="S9448" t="str">
            <v/>
          </cell>
        </row>
        <row r="9449">
          <cell r="S9449" t="str">
            <v/>
          </cell>
        </row>
        <row r="9450">
          <cell r="S9450" t="str">
            <v/>
          </cell>
        </row>
        <row r="9451">
          <cell r="S9451" t="str">
            <v/>
          </cell>
        </row>
        <row r="9452">
          <cell r="S9452" t="str">
            <v/>
          </cell>
        </row>
        <row r="9453">
          <cell r="S9453" t="str">
            <v/>
          </cell>
        </row>
        <row r="9454">
          <cell r="S9454" t="str">
            <v/>
          </cell>
        </row>
        <row r="9455">
          <cell r="S9455" t="str">
            <v/>
          </cell>
        </row>
        <row r="9456">
          <cell r="S9456" t="str">
            <v/>
          </cell>
        </row>
        <row r="9457">
          <cell r="S9457" t="str">
            <v/>
          </cell>
        </row>
        <row r="9458">
          <cell r="S9458" t="str">
            <v/>
          </cell>
        </row>
        <row r="9459">
          <cell r="S9459" t="str">
            <v/>
          </cell>
        </row>
        <row r="9460">
          <cell r="S9460" t="str">
            <v/>
          </cell>
        </row>
        <row r="9461">
          <cell r="S9461" t="str">
            <v/>
          </cell>
        </row>
        <row r="9462">
          <cell r="S9462" t="str">
            <v/>
          </cell>
        </row>
        <row r="9463">
          <cell r="S9463" t="str">
            <v/>
          </cell>
        </row>
        <row r="9464">
          <cell r="S9464" t="str">
            <v/>
          </cell>
        </row>
        <row r="9465">
          <cell r="S9465" t="str">
            <v/>
          </cell>
        </row>
        <row r="9466">
          <cell r="S9466" t="str">
            <v/>
          </cell>
        </row>
        <row r="9467">
          <cell r="S9467" t="str">
            <v/>
          </cell>
        </row>
        <row r="9468">
          <cell r="S9468" t="str">
            <v/>
          </cell>
        </row>
        <row r="9469">
          <cell r="S9469" t="str">
            <v/>
          </cell>
        </row>
        <row r="9470">
          <cell r="S9470" t="str">
            <v/>
          </cell>
        </row>
        <row r="9471">
          <cell r="S9471" t="str">
            <v/>
          </cell>
        </row>
        <row r="9472">
          <cell r="S9472" t="str">
            <v/>
          </cell>
        </row>
        <row r="9473">
          <cell r="S9473" t="str">
            <v/>
          </cell>
        </row>
        <row r="9474">
          <cell r="S9474" t="str">
            <v/>
          </cell>
        </row>
        <row r="9475">
          <cell r="S9475" t="str">
            <v/>
          </cell>
        </row>
        <row r="9476">
          <cell r="S9476" t="str">
            <v/>
          </cell>
        </row>
        <row r="9477">
          <cell r="S9477" t="str">
            <v/>
          </cell>
        </row>
        <row r="9478">
          <cell r="S9478" t="str">
            <v/>
          </cell>
        </row>
        <row r="9479">
          <cell r="S9479" t="str">
            <v/>
          </cell>
        </row>
        <row r="9480">
          <cell r="S9480" t="str">
            <v/>
          </cell>
        </row>
        <row r="9481">
          <cell r="S9481" t="str">
            <v/>
          </cell>
        </row>
        <row r="9482">
          <cell r="S9482" t="str">
            <v/>
          </cell>
        </row>
        <row r="9483">
          <cell r="S9483" t="str">
            <v/>
          </cell>
        </row>
        <row r="9484">
          <cell r="S9484" t="str">
            <v/>
          </cell>
        </row>
        <row r="9485">
          <cell r="S9485" t="str">
            <v/>
          </cell>
        </row>
        <row r="9486">
          <cell r="S9486" t="str">
            <v/>
          </cell>
        </row>
        <row r="9487">
          <cell r="S9487" t="str">
            <v/>
          </cell>
        </row>
        <row r="9488">
          <cell r="S9488" t="str">
            <v/>
          </cell>
        </row>
        <row r="9489">
          <cell r="S9489" t="str">
            <v/>
          </cell>
        </row>
        <row r="9490">
          <cell r="S9490" t="str">
            <v/>
          </cell>
        </row>
        <row r="9491">
          <cell r="S9491" t="str">
            <v/>
          </cell>
        </row>
        <row r="9492">
          <cell r="S9492" t="str">
            <v/>
          </cell>
        </row>
        <row r="9493">
          <cell r="S9493" t="str">
            <v/>
          </cell>
        </row>
        <row r="9494">
          <cell r="S9494" t="str">
            <v/>
          </cell>
        </row>
        <row r="9495">
          <cell r="S9495" t="str">
            <v/>
          </cell>
        </row>
        <row r="9496">
          <cell r="S9496" t="str">
            <v/>
          </cell>
        </row>
        <row r="9497">
          <cell r="S9497" t="str">
            <v/>
          </cell>
        </row>
        <row r="9498">
          <cell r="S9498" t="str">
            <v/>
          </cell>
        </row>
        <row r="9499">
          <cell r="S9499" t="str">
            <v/>
          </cell>
        </row>
        <row r="9500">
          <cell r="S9500" t="str">
            <v/>
          </cell>
        </row>
        <row r="9501">
          <cell r="S9501" t="str">
            <v/>
          </cell>
        </row>
        <row r="9502">
          <cell r="S9502" t="str">
            <v/>
          </cell>
        </row>
        <row r="9503">
          <cell r="S9503" t="str">
            <v/>
          </cell>
        </row>
        <row r="9504">
          <cell r="S9504" t="str">
            <v/>
          </cell>
        </row>
        <row r="9505">
          <cell r="S9505" t="str">
            <v/>
          </cell>
        </row>
        <row r="9506">
          <cell r="S9506" t="str">
            <v/>
          </cell>
        </row>
        <row r="9507">
          <cell r="S9507" t="str">
            <v/>
          </cell>
        </row>
        <row r="9508">
          <cell r="S9508" t="str">
            <v/>
          </cell>
        </row>
        <row r="9509">
          <cell r="S9509" t="str">
            <v/>
          </cell>
        </row>
        <row r="9510">
          <cell r="S9510" t="str">
            <v/>
          </cell>
        </row>
        <row r="9511">
          <cell r="S9511" t="str">
            <v/>
          </cell>
        </row>
        <row r="9512">
          <cell r="S9512" t="str">
            <v/>
          </cell>
        </row>
        <row r="9513">
          <cell r="S9513" t="str">
            <v/>
          </cell>
        </row>
        <row r="9514">
          <cell r="S9514" t="str">
            <v/>
          </cell>
        </row>
        <row r="9515">
          <cell r="S9515" t="str">
            <v/>
          </cell>
        </row>
        <row r="9516">
          <cell r="S9516" t="str">
            <v/>
          </cell>
        </row>
        <row r="9517">
          <cell r="S9517" t="str">
            <v/>
          </cell>
        </row>
        <row r="9518">
          <cell r="S9518" t="str">
            <v/>
          </cell>
        </row>
        <row r="9519">
          <cell r="S9519" t="str">
            <v/>
          </cell>
        </row>
        <row r="9520">
          <cell r="S9520" t="str">
            <v/>
          </cell>
        </row>
        <row r="9521">
          <cell r="S9521" t="str">
            <v/>
          </cell>
        </row>
        <row r="9522">
          <cell r="S9522" t="str">
            <v/>
          </cell>
        </row>
        <row r="9523">
          <cell r="S9523" t="str">
            <v/>
          </cell>
        </row>
        <row r="9524">
          <cell r="S9524" t="str">
            <v/>
          </cell>
        </row>
        <row r="9525">
          <cell r="S9525" t="str">
            <v/>
          </cell>
        </row>
        <row r="9526">
          <cell r="S9526" t="str">
            <v/>
          </cell>
        </row>
        <row r="9527">
          <cell r="S9527" t="str">
            <v/>
          </cell>
        </row>
        <row r="9528">
          <cell r="S9528" t="str">
            <v/>
          </cell>
        </row>
        <row r="9529">
          <cell r="S9529" t="str">
            <v/>
          </cell>
        </row>
        <row r="9530">
          <cell r="S9530" t="str">
            <v/>
          </cell>
        </row>
        <row r="9531">
          <cell r="S9531" t="str">
            <v/>
          </cell>
        </row>
        <row r="9532">
          <cell r="S9532" t="str">
            <v/>
          </cell>
        </row>
        <row r="9533">
          <cell r="S9533" t="str">
            <v/>
          </cell>
        </row>
        <row r="9534">
          <cell r="S9534" t="str">
            <v/>
          </cell>
        </row>
        <row r="9535">
          <cell r="S9535" t="str">
            <v/>
          </cell>
        </row>
        <row r="9536">
          <cell r="S9536" t="str">
            <v/>
          </cell>
        </row>
        <row r="9537">
          <cell r="S9537" t="str">
            <v/>
          </cell>
        </row>
        <row r="9538">
          <cell r="S9538" t="str">
            <v/>
          </cell>
        </row>
        <row r="9539">
          <cell r="S9539" t="str">
            <v/>
          </cell>
        </row>
        <row r="9540">
          <cell r="S9540" t="str">
            <v/>
          </cell>
        </row>
        <row r="9541">
          <cell r="S9541" t="str">
            <v/>
          </cell>
        </row>
        <row r="9542">
          <cell r="S9542" t="str">
            <v/>
          </cell>
        </row>
        <row r="9543">
          <cell r="S9543" t="str">
            <v/>
          </cell>
        </row>
        <row r="9544">
          <cell r="S9544" t="str">
            <v/>
          </cell>
        </row>
        <row r="9545">
          <cell r="S9545" t="str">
            <v/>
          </cell>
        </row>
        <row r="9546">
          <cell r="S9546" t="str">
            <v/>
          </cell>
        </row>
        <row r="9547">
          <cell r="S9547" t="str">
            <v/>
          </cell>
        </row>
        <row r="9548">
          <cell r="S9548" t="str">
            <v/>
          </cell>
        </row>
        <row r="9549">
          <cell r="S9549" t="str">
            <v/>
          </cell>
        </row>
        <row r="9550">
          <cell r="S9550" t="str">
            <v/>
          </cell>
        </row>
        <row r="9551">
          <cell r="S9551" t="str">
            <v/>
          </cell>
        </row>
        <row r="9552">
          <cell r="S9552" t="str">
            <v/>
          </cell>
        </row>
        <row r="9553">
          <cell r="S9553" t="str">
            <v/>
          </cell>
        </row>
        <row r="9554">
          <cell r="S9554" t="str">
            <v/>
          </cell>
        </row>
        <row r="9555">
          <cell r="S9555" t="str">
            <v/>
          </cell>
        </row>
        <row r="9556">
          <cell r="S9556" t="str">
            <v/>
          </cell>
        </row>
        <row r="9557">
          <cell r="S9557" t="str">
            <v/>
          </cell>
        </row>
        <row r="9558">
          <cell r="S9558" t="str">
            <v/>
          </cell>
        </row>
        <row r="9559">
          <cell r="S9559" t="str">
            <v/>
          </cell>
        </row>
        <row r="9560">
          <cell r="S9560" t="str">
            <v/>
          </cell>
        </row>
        <row r="9561">
          <cell r="S9561" t="str">
            <v/>
          </cell>
        </row>
        <row r="9562">
          <cell r="S9562" t="str">
            <v/>
          </cell>
        </row>
        <row r="9563">
          <cell r="S9563" t="str">
            <v/>
          </cell>
        </row>
        <row r="9564">
          <cell r="S9564" t="str">
            <v/>
          </cell>
        </row>
        <row r="9565">
          <cell r="S9565" t="str">
            <v/>
          </cell>
        </row>
        <row r="9566">
          <cell r="S9566" t="str">
            <v/>
          </cell>
        </row>
        <row r="9567">
          <cell r="S9567" t="str">
            <v/>
          </cell>
        </row>
        <row r="9568">
          <cell r="S9568" t="str">
            <v/>
          </cell>
        </row>
        <row r="9569">
          <cell r="S9569" t="str">
            <v/>
          </cell>
        </row>
        <row r="9570">
          <cell r="S9570" t="str">
            <v/>
          </cell>
        </row>
        <row r="9571">
          <cell r="S9571" t="str">
            <v/>
          </cell>
        </row>
        <row r="9572">
          <cell r="S9572" t="str">
            <v/>
          </cell>
        </row>
        <row r="9573">
          <cell r="S9573" t="str">
            <v/>
          </cell>
        </row>
        <row r="9574">
          <cell r="S9574" t="str">
            <v/>
          </cell>
        </row>
        <row r="9575">
          <cell r="S9575" t="str">
            <v/>
          </cell>
        </row>
        <row r="9576">
          <cell r="S9576" t="str">
            <v/>
          </cell>
        </row>
        <row r="9577">
          <cell r="S9577" t="str">
            <v/>
          </cell>
        </row>
        <row r="9578">
          <cell r="S9578" t="str">
            <v/>
          </cell>
        </row>
        <row r="9579">
          <cell r="S9579" t="str">
            <v/>
          </cell>
        </row>
        <row r="9580">
          <cell r="S9580" t="str">
            <v/>
          </cell>
        </row>
        <row r="9581">
          <cell r="S9581" t="str">
            <v/>
          </cell>
        </row>
        <row r="9582">
          <cell r="S9582" t="str">
            <v/>
          </cell>
        </row>
        <row r="9583">
          <cell r="S9583" t="str">
            <v/>
          </cell>
        </row>
        <row r="9584">
          <cell r="S9584" t="str">
            <v/>
          </cell>
        </row>
        <row r="9585">
          <cell r="S9585" t="str">
            <v/>
          </cell>
        </row>
        <row r="9586">
          <cell r="S9586" t="str">
            <v/>
          </cell>
        </row>
        <row r="9587">
          <cell r="S9587" t="str">
            <v/>
          </cell>
        </row>
        <row r="9588">
          <cell r="S9588" t="str">
            <v/>
          </cell>
        </row>
        <row r="9589">
          <cell r="S9589" t="str">
            <v/>
          </cell>
        </row>
        <row r="9590">
          <cell r="S9590" t="str">
            <v/>
          </cell>
        </row>
        <row r="9591">
          <cell r="S9591" t="str">
            <v/>
          </cell>
        </row>
        <row r="9592">
          <cell r="S9592" t="str">
            <v/>
          </cell>
        </row>
        <row r="9593">
          <cell r="S9593" t="str">
            <v/>
          </cell>
        </row>
        <row r="9594">
          <cell r="S9594" t="str">
            <v/>
          </cell>
        </row>
        <row r="9595">
          <cell r="S9595" t="str">
            <v/>
          </cell>
        </row>
        <row r="9596">
          <cell r="S9596" t="str">
            <v/>
          </cell>
        </row>
        <row r="9597">
          <cell r="S9597" t="str">
            <v/>
          </cell>
        </row>
        <row r="9598">
          <cell r="S9598" t="str">
            <v/>
          </cell>
        </row>
        <row r="9599">
          <cell r="S9599" t="str">
            <v/>
          </cell>
        </row>
        <row r="9600">
          <cell r="S9600" t="str">
            <v/>
          </cell>
        </row>
        <row r="9601">
          <cell r="S9601" t="str">
            <v/>
          </cell>
        </row>
        <row r="9602">
          <cell r="S9602" t="str">
            <v/>
          </cell>
        </row>
        <row r="9603">
          <cell r="S9603" t="str">
            <v/>
          </cell>
        </row>
        <row r="9604">
          <cell r="S9604" t="str">
            <v/>
          </cell>
        </row>
        <row r="9605">
          <cell r="S9605" t="str">
            <v/>
          </cell>
        </row>
        <row r="9606">
          <cell r="S9606" t="str">
            <v/>
          </cell>
        </row>
        <row r="9607">
          <cell r="S9607" t="str">
            <v/>
          </cell>
        </row>
        <row r="9608">
          <cell r="S9608" t="str">
            <v/>
          </cell>
        </row>
        <row r="9609">
          <cell r="S9609" t="str">
            <v/>
          </cell>
        </row>
        <row r="9610">
          <cell r="S9610" t="str">
            <v/>
          </cell>
        </row>
        <row r="9611">
          <cell r="S9611" t="str">
            <v/>
          </cell>
        </row>
        <row r="9612">
          <cell r="S9612" t="str">
            <v/>
          </cell>
        </row>
        <row r="9613">
          <cell r="S9613" t="str">
            <v/>
          </cell>
        </row>
        <row r="9614">
          <cell r="S9614" t="str">
            <v/>
          </cell>
        </row>
        <row r="9615">
          <cell r="S9615" t="str">
            <v/>
          </cell>
        </row>
        <row r="9616">
          <cell r="S9616" t="str">
            <v/>
          </cell>
        </row>
        <row r="9617">
          <cell r="S9617" t="str">
            <v/>
          </cell>
        </row>
        <row r="9618">
          <cell r="S9618" t="str">
            <v/>
          </cell>
        </row>
        <row r="9619">
          <cell r="S9619" t="str">
            <v/>
          </cell>
        </row>
        <row r="9620">
          <cell r="S9620" t="str">
            <v/>
          </cell>
        </row>
        <row r="9621">
          <cell r="S9621" t="str">
            <v/>
          </cell>
        </row>
        <row r="9622">
          <cell r="S9622" t="str">
            <v/>
          </cell>
        </row>
        <row r="9623">
          <cell r="S9623" t="str">
            <v/>
          </cell>
        </row>
        <row r="9624">
          <cell r="S9624" t="str">
            <v/>
          </cell>
        </row>
        <row r="9625">
          <cell r="S9625" t="str">
            <v/>
          </cell>
        </row>
        <row r="9626">
          <cell r="S9626" t="str">
            <v/>
          </cell>
        </row>
        <row r="9627">
          <cell r="S9627" t="str">
            <v/>
          </cell>
        </row>
        <row r="9628">
          <cell r="S9628" t="str">
            <v/>
          </cell>
        </row>
        <row r="9629">
          <cell r="S9629" t="str">
            <v/>
          </cell>
        </row>
        <row r="9630">
          <cell r="S9630" t="str">
            <v/>
          </cell>
        </row>
        <row r="9631">
          <cell r="S9631" t="str">
            <v/>
          </cell>
        </row>
        <row r="9632">
          <cell r="S9632" t="str">
            <v/>
          </cell>
        </row>
        <row r="9633">
          <cell r="S9633" t="str">
            <v/>
          </cell>
        </row>
        <row r="9634">
          <cell r="S9634" t="str">
            <v/>
          </cell>
        </row>
        <row r="9635">
          <cell r="S9635" t="str">
            <v/>
          </cell>
        </row>
        <row r="9636">
          <cell r="S9636" t="str">
            <v/>
          </cell>
        </row>
        <row r="9637">
          <cell r="S9637" t="str">
            <v/>
          </cell>
        </row>
        <row r="9638">
          <cell r="S9638" t="str">
            <v/>
          </cell>
        </row>
        <row r="9639">
          <cell r="S9639" t="str">
            <v/>
          </cell>
        </row>
        <row r="9640">
          <cell r="S9640" t="str">
            <v/>
          </cell>
        </row>
        <row r="9641">
          <cell r="S9641" t="str">
            <v/>
          </cell>
        </row>
        <row r="9642">
          <cell r="S9642" t="str">
            <v/>
          </cell>
        </row>
        <row r="9643">
          <cell r="S9643" t="str">
            <v/>
          </cell>
        </row>
        <row r="9644">
          <cell r="S9644" t="str">
            <v/>
          </cell>
        </row>
        <row r="9645">
          <cell r="S9645" t="str">
            <v/>
          </cell>
        </row>
        <row r="9646">
          <cell r="S9646" t="str">
            <v/>
          </cell>
        </row>
        <row r="9647">
          <cell r="S9647" t="str">
            <v/>
          </cell>
        </row>
        <row r="9648">
          <cell r="S9648" t="str">
            <v/>
          </cell>
        </row>
        <row r="9649">
          <cell r="S9649" t="str">
            <v/>
          </cell>
        </row>
        <row r="9650">
          <cell r="S9650" t="str">
            <v/>
          </cell>
        </row>
        <row r="9651">
          <cell r="S9651" t="str">
            <v/>
          </cell>
        </row>
        <row r="9652">
          <cell r="S9652" t="str">
            <v/>
          </cell>
        </row>
        <row r="9653">
          <cell r="S9653" t="str">
            <v/>
          </cell>
        </row>
        <row r="9654">
          <cell r="S9654" t="str">
            <v/>
          </cell>
        </row>
        <row r="9655">
          <cell r="S9655" t="str">
            <v/>
          </cell>
        </row>
        <row r="9656">
          <cell r="S9656" t="str">
            <v/>
          </cell>
        </row>
        <row r="9657">
          <cell r="S9657" t="str">
            <v/>
          </cell>
        </row>
        <row r="9658">
          <cell r="S9658" t="str">
            <v/>
          </cell>
        </row>
        <row r="9659">
          <cell r="S9659" t="str">
            <v/>
          </cell>
        </row>
        <row r="9660">
          <cell r="S9660" t="str">
            <v/>
          </cell>
        </row>
        <row r="9661">
          <cell r="S9661" t="str">
            <v/>
          </cell>
        </row>
        <row r="9662">
          <cell r="S9662" t="str">
            <v/>
          </cell>
        </row>
        <row r="9663">
          <cell r="S9663" t="str">
            <v/>
          </cell>
        </row>
        <row r="9664">
          <cell r="S9664" t="str">
            <v/>
          </cell>
        </row>
        <row r="9665">
          <cell r="S9665" t="str">
            <v/>
          </cell>
        </row>
        <row r="9666">
          <cell r="S9666" t="str">
            <v/>
          </cell>
        </row>
        <row r="9667">
          <cell r="S9667" t="str">
            <v/>
          </cell>
        </row>
        <row r="9668">
          <cell r="S9668" t="str">
            <v/>
          </cell>
        </row>
        <row r="9669">
          <cell r="S9669" t="str">
            <v/>
          </cell>
        </row>
        <row r="9670">
          <cell r="S9670" t="str">
            <v/>
          </cell>
        </row>
        <row r="9671">
          <cell r="S9671" t="str">
            <v/>
          </cell>
        </row>
        <row r="9672">
          <cell r="S9672" t="str">
            <v/>
          </cell>
        </row>
        <row r="9673">
          <cell r="S9673" t="str">
            <v/>
          </cell>
        </row>
        <row r="9674">
          <cell r="S9674" t="str">
            <v/>
          </cell>
        </row>
        <row r="9675">
          <cell r="S9675" t="str">
            <v/>
          </cell>
        </row>
        <row r="9676">
          <cell r="S9676" t="str">
            <v/>
          </cell>
        </row>
        <row r="9677">
          <cell r="S9677" t="str">
            <v/>
          </cell>
        </row>
        <row r="9678">
          <cell r="S9678" t="str">
            <v/>
          </cell>
        </row>
        <row r="9679">
          <cell r="S9679" t="str">
            <v/>
          </cell>
        </row>
        <row r="9680">
          <cell r="S9680" t="str">
            <v/>
          </cell>
        </row>
        <row r="9681">
          <cell r="S9681" t="str">
            <v/>
          </cell>
        </row>
        <row r="9682">
          <cell r="S9682" t="str">
            <v/>
          </cell>
        </row>
        <row r="9683">
          <cell r="S9683" t="str">
            <v/>
          </cell>
        </row>
        <row r="9684">
          <cell r="S9684" t="str">
            <v/>
          </cell>
        </row>
        <row r="9685">
          <cell r="S9685" t="str">
            <v/>
          </cell>
        </row>
        <row r="9686">
          <cell r="S9686" t="str">
            <v/>
          </cell>
        </row>
        <row r="9687">
          <cell r="S9687" t="str">
            <v/>
          </cell>
        </row>
        <row r="9688">
          <cell r="S9688" t="str">
            <v/>
          </cell>
        </row>
        <row r="9689">
          <cell r="S9689" t="str">
            <v/>
          </cell>
        </row>
        <row r="9690">
          <cell r="S9690" t="str">
            <v/>
          </cell>
        </row>
        <row r="9691">
          <cell r="S9691" t="str">
            <v/>
          </cell>
        </row>
        <row r="9692">
          <cell r="S9692" t="str">
            <v/>
          </cell>
        </row>
        <row r="9693">
          <cell r="S9693" t="str">
            <v/>
          </cell>
        </row>
        <row r="9694">
          <cell r="S9694" t="str">
            <v/>
          </cell>
        </row>
        <row r="9695">
          <cell r="S9695" t="str">
            <v/>
          </cell>
        </row>
        <row r="9696">
          <cell r="S9696" t="str">
            <v/>
          </cell>
        </row>
        <row r="9697">
          <cell r="S9697" t="str">
            <v/>
          </cell>
        </row>
        <row r="9698">
          <cell r="S9698" t="str">
            <v/>
          </cell>
        </row>
        <row r="9699">
          <cell r="S9699" t="str">
            <v/>
          </cell>
        </row>
        <row r="9700">
          <cell r="S9700" t="str">
            <v/>
          </cell>
        </row>
        <row r="9701">
          <cell r="S9701" t="str">
            <v/>
          </cell>
        </row>
        <row r="9702">
          <cell r="S9702" t="str">
            <v/>
          </cell>
        </row>
        <row r="9703">
          <cell r="S9703" t="str">
            <v/>
          </cell>
        </row>
        <row r="9704">
          <cell r="S9704" t="str">
            <v/>
          </cell>
        </row>
        <row r="9705">
          <cell r="S9705" t="str">
            <v/>
          </cell>
        </row>
        <row r="9706">
          <cell r="S9706" t="str">
            <v/>
          </cell>
        </row>
        <row r="9707">
          <cell r="S9707" t="str">
            <v/>
          </cell>
        </row>
        <row r="9708">
          <cell r="S9708" t="str">
            <v/>
          </cell>
        </row>
        <row r="9709">
          <cell r="S9709" t="str">
            <v/>
          </cell>
        </row>
        <row r="9710">
          <cell r="S9710" t="str">
            <v/>
          </cell>
        </row>
        <row r="9711">
          <cell r="S9711" t="str">
            <v/>
          </cell>
        </row>
        <row r="9712">
          <cell r="S9712" t="str">
            <v/>
          </cell>
        </row>
        <row r="9713">
          <cell r="S9713" t="str">
            <v/>
          </cell>
        </row>
        <row r="9714">
          <cell r="S9714" t="str">
            <v/>
          </cell>
        </row>
        <row r="9715">
          <cell r="S9715" t="str">
            <v/>
          </cell>
        </row>
        <row r="9716">
          <cell r="S9716" t="str">
            <v/>
          </cell>
        </row>
        <row r="9717">
          <cell r="S9717" t="str">
            <v/>
          </cell>
        </row>
        <row r="9718">
          <cell r="S9718" t="str">
            <v/>
          </cell>
        </row>
        <row r="9719">
          <cell r="S9719" t="str">
            <v/>
          </cell>
        </row>
        <row r="9720">
          <cell r="S9720" t="str">
            <v/>
          </cell>
        </row>
        <row r="9721">
          <cell r="S9721" t="str">
            <v/>
          </cell>
        </row>
        <row r="9722">
          <cell r="S9722" t="str">
            <v/>
          </cell>
        </row>
        <row r="9723">
          <cell r="S9723" t="str">
            <v/>
          </cell>
        </row>
        <row r="9724">
          <cell r="S9724" t="str">
            <v/>
          </cell>
        </row>
        <row r="9725">
          <cell r="S9725" t="str">
            <v/>
          </cell>
        </row>
        <row r="9726">
          <cell r="S9726" t="str">
            <v/>
          </cell>
        </row>
        <row r="9727">
          <cell r="S9727" t="str">
            <v/>
          </cell>
        </row>
        <row r="9728">
          <cell r="S9728" t="str">
            <v/>
          </cell>
        </row>
        <row r="9729">
          <cell r="S9729" t="str">
            <v/>
          </cell>
        </row>
        <row r="9730">
          <cell r="S9730" t="str">
            <v/>
          </cell>
        </row>
        <row r="9731">
          <cell r="S9731" t="str">
            <v/>
          </cell>
        </row>
        <row r="9732">
          <cell r="S9732" t="str">
            <v/>
          </cell>
        </row>
        <row r="9733">
          <cell r="S9733" t="str">
            <v/>
          </cell>
        </row>
        <row r="9734">
          <cell r="S9734" t="str">
            <v/>
          </cell>
        </row>
        <row r="9735">
          <cell r="S9735" t="str">
            <v/>
          </cell>
        </row>
        <row r="9736">
          <cell r="S9736" t="str">
            <v/>
          </cell>
        </row>
        <row r="9737">
          <cell r="S9737" t="str">
            <v/>
          </cell>
        </row>
        <row r="9738">
          <cell r="S9738" t="str">
            <v/>
          </cell>
        </row>
        <row r="9739">
          <cell r="S9739" t="str">
            <v/>
          </cell>
        </row>
        <row r="9740">
          <cell r="S9740" t="str">
            <v/>
          </cell>
        </row>
        <row r="9741">
          <cell r="S9741" t="str">
            <v/>
          </cell>
        </row>
        <row r="9742">
          <cell r="S9742" t="str">
            <v/>
          </cell>
        </row>
        <row r="9743">
          <cell r="S9743" t="str">
            <v/>
          </cell>
        </row>
        <row r="9744">
          <cell r="S9744" t="str">
            <v/>
          </cell>
        </row>
        <row r="9745">
          <cell r="S9745" t="str">
            <v/>
          </cell>
        </row>
        <row r="9746">
          <cell r="S9746" t="str">
            <v/>
          </cell>
        </row>
        <row r="9747">
          <cell r="S9747" t="str">
            <v/>
          </cell>
        </row>
        <row r="9748">
          <cell r="S9748" t="str">
            <v/>
          </cell>
        </row>
        <row r="9749">
          <cell r="S9749" t="str">
            <v/>
          </cell>
        </row>
        <row r="9750">
          <cell r="S9750" t="str">
            <v/>
          </cell>
        </row>
        <row r="9751">
          <cell r="S9751" t="str">
            <v/>
          </cell>
        </row>
        <row r="9752">
          <cell r="S9752" t="str">
            <v/>
          </cell>
        </row>
        <row r="9753">
          <cell r="S9753" t="str">
            <v/>
          </cell>
        </row>
        <row r="9754">
          <cell r="S9754" t="str">
            <v/>
          </cell>
        </row>
        <row r="9755">
          <cell r="S9755" t="str">
            <v/>
          </cell>
        </row>
        <row r="9756">
          <cell r="S9756" t="str">
            <v/>
          </cell>
        </row>
        <row r="9757">
          <cell r="S9757" t="str">
            <v/>
          </cell>
        </row>
        <row r="9758">
          <cell r="S9758" t="str">
            <v/>
          </cell>
        </row>
        <row r="9759">
          <cell r="S9759" t="str">
            <v/>
          </cell>
        </row>
        <row r="9760">
          <cell r="S9760" t="str">
            <v/>
          </cell>
        </row>
        <row r="9761">
          <cell r="S9761" t="str">
            <v/>
          </cell>
        </row>
        <row r="9762">
          <cell r="S9762" t="str">
            <v/>
          </cell>
        </row>
        <row r="9763">
          <cell r="S9763" t="str">
            <v/>
          </cell>
        </row>
        <row r="9764">
          <cell r="S9764" t="str">
            <v/>
          </cell>
        </row>
        <row r="9765">
          <cell r="S9765" t="str">
            <v/>
          </cell>
        </row>
        <row r="9766">
          <cell r="S9766" t="str">
            <v/>
          </cell>
        </row>
        <row r="9767">
          <cell r="S9767" t="str">
            <v/>
          </cell>
        </row>
        <row r="9768">
          <cell r="S9768" t="str">
            <v/>
          </cell>
        </row>
        <row r="9769">
          <cell r="S9769" t="str">
            <v/>
          </cell>
        </row>
        <row r="9770">
          <cell r="S9770" t="str">
            <v/>
          </cell>
        </row>
        <row r="9771">
          <cell r="S9771" t="str">
            <v/>
          </cell>
        </row>
        <row r="9772">
          <cell r="S9772" t="str">
            <v/>
          </cell>
        </row>
        <row r="9773">
          <cell r="S9773" t="str">
            <v/>
          </cell>
        </row>
        <row r="9774">
          <cell r="S9774" t="str">
            <v/>
          </cell>
        </row>
        <row r="9775">
          <cell r="S9775" t="str">
            <v/>
          </cell>
        </row>
        <row r="9776">
          <cell r="S9776" t="str">
            <v/>
          </cell>
        </row>
        <row r="9777">
          <cell r="S9777" t="str">
            <v/>
          </cell>
        </row>
        <row r="9778">
          <cell r="S9778" t="str">
            <v/>
          </cell>
        </row>
        <row r="9779">
          <cell r="S9779" t="str">
            <v/>
          </cell>
        </row>
        <row r="9780">
          <cell r="S9780" t="str">
            <v/>
          </cell>
        </row>
        <row r="9781">
          <cell r="S9781" t="str">
            <v/>
          </cell>
        </row>
        <row r="9782">
          <cell r="S9782" t="str">
            <v/>
          </cell>
        </row>
        <row r="9783">
          <cell r="S9783" t="str">
            <v/>
          </cell>
        </row>
        <row r="9784">
          <cell r="S9784" t="str">
            <v/>
          </cell>
        </row>
        <row r="9785">
          <cell r="S9785" t="str">
            <v/>
          </cell>
        </row>
        <row r="9786">
          <cell r="S9786" t="str">
            <v/>
          </cell>
        </row>
        <row r="9787">
          <cell r="S9787" t="str">
            <v/>
          </cell>
        </row>
        <row r="9788">
          <cell r="S9788" t="str">
            <v/>
          </cell>
        </row>
        <row r="9789">
          <cell r="S9789" t="str">
            <v/>
          </cell>
        </row>
        <row r="9790">
          <cell r="S9790" t="str">
            <v/>
          </cell>
        </row>
        <row r="9791">
          <cell r="S9791" t="str">
            <v/>
          </cell>
        </row>
        <row r="9792">
          <cell r="S9792" t="str">
            <v/>
          </cell>
        </row>
        <row r="9793">
          <cell r="S9793" t="str">
            <v/>
          </cell>
        </row>
        <row r="9794">
          <cell r="S9794" t="str">
            <v/>
          </cell>
        </row>
        <row r="9795">
          <cell r="S9795" t="str">
            <v/>
          </cell>
        </row>
        <row r="9796">
          <cell r="S9796" t="str">
            <v/>
          </cell>
        </row>
        <row r="9797">
          <cell r="S9797" t="str">
            <v/>
          </cell>
        </row>
        <row r="9798">
          <cell r="S9798" t="str">
            <v/>
          </cell>
        </row>
        <row r="9799">
          <cell r="S9799" t="str">
            <v/>
          </cell>
        </row>
        <row r="9800">
          <cell r="S9800" t="str">
            <v/>
          </cell>
        </row>
        <row r="9801">
          <cell r="S9801" t="str">
            <v/>
          </cell>
        </row>
        <row r="9802">
          <cell r="S9802" t="str">
            <v/>
          </cell>
        </row>
        <row r="9803">
          <cell r="S9803" t="str">
            <v/>
          </cell>
        </row>
        <row r="9804">
          <cell r="S9804" t="str">
            <v/>
          </cell>
        </row>
        <row r="9805">
          <cell r="S9805" t="str">
            <v/>
          </cell>
        </row>
        <row r="9806">
          <cell r="S9806" t="str">
            <v/>
          </cell>
        </row>
        <row r="9807">
          <cell r="S9807" t="str">
            <v/>
          </cell>
        </row>
        <row r="9808">
          <cell r="S9808" t="str">
            <v/>
          </cell>
        </row>
        <row r="9809">
          <cell r="S9809" t="str">
            <v/>
          </cell>
        </row>
        <row r="9810">
          <cell r="S9810" t="str">
            <v/>
          </cell>
        </row>
        <row r="9811">
          <cell r="S9811" t="str">
            <v/>
          </cell>
        </row>
        <row r="9812">
          <cell r="S9812" t="str">
            <v/>
          </cell>
        </row>
        <row r="9813">
          <cell r="S9813" t="str">
            <v/>
          </cell>
        </row>
        <row r="9814">
          <cell r="S9814" t="str">
            <v/>
          </cell>
        </row>
        <row r="9815">
          <cell r="S9815" t="str">
            <v/>
          </cell>
        </row>
        <row r="9816">
          <cell r="S9816" t="str">
            <v/>
          </cell>
        </row>
        <row r="9817">
          <cell r="S9817" t="str">
            <v/>
          </cell>
        </row>
        <row r="9818">
          <cell r="S9818" t="str">
            <v/>
          </cell>
        </row>
        <row r="9819">
          <cell r="S9819" t="str">
            <v/>
          </cell>
        </row>
        <row r="9820">
          <cell r="S9820" t="str">
            <v/>
          </cell>
        </row>
        <row r="9821">
          <cell r="S9821" t="str">
            <v/>
          </cell>
        </row>
        <row r="9822">
          <cell r="S9822" t="str">
            <v/>
          </cell>
        </row>
        <row r="9823">
          <cell r="S9823" t="str">
            <v/>
          </cell>
        </row>
        <row r="9824">
          <cell r="S9824" t="str">
            <v/>
          </cell>
        </row>
        <row r="9825">
          <cell r="S9825" t="str">
            <v/>
          </cell>
        </row>
        <row r="9826">
          <cell r="S9826" t="str">
            <v/>
          </cell>
        </row>
        <row r="9827">
          <cell r="S9827" t="str">
            <v/>
          </cell>
        </row>
        <row r="9828">
          <cell r="S9828" t="str">
            <v/>
          </cell>
        </row>
        <row r="9829">
          <cell r="S9829" t="str">
            <v/>
          </cell>
        </row>
        <row r="9830">
          <cell r="S9830" t="str">
            <v/>
          </cell>
        </row>
        <row r="9831">
          <cell r="S9831" t="str">
            <v/>
          </cell>
        </row>
        <row r="9832">
          <cell r="S9832" t="str">
            <v/>
          </cell>
        </row>
        <row r="9833">
          <cell r="S9833" t="str">
            <v/>
          </cell>
        </row>
        <row r="9834">
          <cell r="S9834" t="str">
            <v/>
          </cell>
        </row>
        <row r="9835">
          <cell r="S9835" t="str">
            <v/>
          </cell>
        </row>
        <row r="9836">
          <cell r="S9836" t="str">
            <v/>
          </cell>
        </row>
        <row r="9837">
          <cell r="S9837" t="str">
            <v/>
          </cell>
        </row>
        <row r="9838">
          <cell r="S9838" t="str">
            <v/>
          </cell>
        </row>
        <row r="9839">
          <cell r="S9839" t="str">
            <v/>
          </cell>
        </row>
        <row r="9840">
          <cell r="S9840" t="str">
            <v/>
          </cell>
        </row>
        <row r="9841">
          <cell r="S9841" t="str">
            <v/>
          </cell>
        </row>
        <row r="9842">
          <cell r="S9842" t="str">
            <v/>
          </cell>
        </row>
        <row r="9843">
          <cell r="S9843" t="str">
            <v/>
          </cell>
        </row>
        <row r="9844">
          <cell r="S9844" t="str">
            <v/>
          </cell>
        </row>
        <row r="9845">
          <cell r="S9845" t="str">
            <v/>
          </cell>
        </row>
        <row r="9846">
          <cell r="S9846" t="str">
            <v/>
          </cell>
        </row>
        <row r="9847">
          <cell r="S9847" t="str">
            <v/>
          </cell>
        </row>
        <row r="9848">
          <cell r="S9848" t="str">
            <v/>
          </cell>
        </row>
        <row r="9849">
          <cell r="S9849" t="str">
            <v/>
          </cell>
        </row>
        <row r="9850">
          <cell r="S9850" t="str">
            <v/>
          </cell>
        </row>
        <row r="9851">
          <cell r="S9851" t="str">
            <v/>
          </cell>
        </row>
        <row r="9852">
          <cell r="S9852" t="str">
            <v/>
          </cell>
        </row>
        <row r="9853">
          <cell r="S9853" t="str">
            <v/>
          </cell>
        </row>
        <row r="9854">
          <cell r="S9854" t="str">
            <v/>
          </cell>
        </row>
        <row r="9855">
          <cell r="S9855" t="str">
            <v/>
          </cell>
        </row>
        <row r="9856">
          <cell r="S9856" t="str">
            <v/>
          </cell>
        </row>
        <row r="9857">
          <cell r="S9857" t="str">
            <v/>
          </cell>
        </row>
        <row r="9858">
          <cell r="S9858" t="str">
            <v/>
          </cell>
        </row>
        <row r="9859">
          <cell r="S9859" t="str">
            <v/>
          </cell>
        </row>
        <row r="9860">
          <cell r="S9860" t="str">
            <v/>
          </cell>
        </row>
        <row r="9861">
          <cell r="S9861" t="str">
            <v/>
          </cell>
        </row>
        <row r="9862">
          <cell r="S9862" t="str">
            <v/>
          </cell>
        </row>
        <row r="9863">
          <cell r="S9863" t="str">
            <v/>
          </cell>
        </row>
        <row r="9864">
          <cell r="S9864" t="str">
            <v/>
          </cell>
        </row>
        <row r="9865">
          <cell r="S9865" t="str">
            <v/>
          </cell>
        </row>
        <row r="9866">
          <cell r="S9866" t="str">
            <v/>
          </cell>
        </row>
        <row r="9867">
          <cell r="S9867" t="str">
            <v/>
          </cell>
        </row>
        <row r="9868">
          <cell r="S9868" t="str">
            <v/>
          </cell>
        </row>
        <row r="9869">
          <cell r="S9869" t="str">
            <v/>
          </cell>
        </row>
        <row r="9870">
          <cell r="S9870" t="str">
            <v/>
          </cell>
        </row>
        <row r="9871">
          <cell r="S9871" t="str">
            <v/>
          </cell>
        </row>
        <row r="9872">
          <cell r="S9872" t="str">
            <v/>
          </cell>
        </row>
        <row r="9873">
          <cell r="S9873" t="str">
            <v/>
          </cell>
        </row>
        <row r="9874">
          <cell r="S9874" t="str">
            <v/>
          </cell>
        </row>
        <row r="9875">
          <cell r="S9875" t="str">
            <v/>
          </cell>
        </row>
        <row r="9876">
          <cell r="S9876" t="str">
            <v/>
          </cell>
        </row>
        <row r="9877">
          <cell r="S9877" t="str">
            <v/>
          </cell>
        </row>
        <row r="9878">
          <cell r="S9878" t="str">
            <v/>
          </cell>
        </row>
        <row r="9879">
          <cell r="S9879" t="str">
            <v/>
          </cell>
        </row>
        <row r="9880">
          <cell r="S9880" t="str">
            <v/>
          </cell>
        </row>
        <row r="9881">
          <cell r="S9881" t="str">
            <v/>
          </cell>
        </row>
        <row r="9882">
          <cell r="S9882" t="str">
            <v/>
          </cell>
        </row>
        <row r="9883">
          <cell r="S9883" t="str">
            <v/>
          </cell>
        </row>
        <row r="9884">
          <cell r="S9884" t="str">
            <v/>
          </cell>
        </row>
        <row r="9885">
          <cell r="S9885" t="str">
            <v/>
          </cell>
        </row>
        <row r="9886">
          <cell r="S9886" t="str">
            <v/>
          </cell>
        </row>
        <row r="9887">
          <cell r="S9887" t="str">
            <v/>
          </cell>
        </row>
        <row r="9888">
          <cell r="S9888" t="str">
            <v/>
          </cell>
        </row>
        <row r="9889">
          <cell r="S9889" t="str">
            <v/>
          </cell>
        </row>
        <row r="9890">
          <cell r="S9890" t="str">
            <v/>
          </cell>
        </row>
        <row r="9891">
          <cell r="S9891" t="str">
            <v/>
          </cell>
        </row>
        <row r="9892">
          <cell r="S9892" t="str">
            <v/>
          </cell>
        </row>
        <row r="9893">
          <cell r="S9893" t="str">
            <v/>
          </cell>
        </row>
        <row r="9894">
          <cell r="S9894" t="str">
            <v/>
          </cell>
        </row>
        <row r="9895">
          <cell r="S9895" t="str">
            <v/>
          </cell>
        </row>
        <row r="9896">
          <cell r="S9896" t="str">
            <v/>
          </cell>
        </row>
        <row r="9897">
          <cell r="S9897" t="str">
            <v/>
          </cell>
        </row>
        <row r="9898">
          <cell r="S9898" t="str">
            <v/>
          </cell>
        </row>
        <row r="9899">
          <cell r="S9899" t="str">
            <v/>
          </cell>
        </row>
        <row r="9900">
          <cell r="S9900" t="str">
            <v/>
          </cell>
        </row>
        <row r="9901">
          <cell r="S9901" t="str">
            <v/>
          </cell>
        </row>
        <row r="9902">
          <cell r="S9902" t="str">
            <v/>
          </cell>
        </row>
        <row r="9903">
          <cell r="S9903" t="str">
            <v/>
          </cell>
        </row>
        <row r="9904">
          <cell r="S9904" t="str">
            <v/>
          </cell>
        </row>
        <row r="9905">
          <cell r="S9905" t="str">
            <v/>
          </cell>
        </row>
        <row r="9906">
          <cell r="S9906" t="str">
            <v/>
          </cell>
        </row>
        <row r="9907">
          <cell r="S9907" t="str">
            <v/>
          </cell>
        </row>
        <row r="9908">
          <cell r="S9908" t="str">
            <v/>
          </cell>
        </row>
        <row r="9909">
          <cell r="S9909" t="str">
            <v/>
          </cell>
        </row>
        <row r="9910">
          <cell r="S9910" t="str">
            <v/>
          </cell>
        </row>
        <row r="9911">
          <cell r="S9911" t="str">
            <v/>
          </cell>
        </row>
        <row r="9912">
          <cell r="S9912" t="str">
            <v/>
          </cell>
        </row>
        <row r="9913">
          <cell r="S9913" t="str">
            <v/>
          </cell>
        </row>
        <row r="9914">
          <cell r="S9914" t="str">
            <v/>
          </cell>
        </row>
        <row r="9915">
          <cell r="S9915" t="str">
            <v/>
          </cell>
        </row>
        <row r="9916">
          <cell r="S9916" t="str">
            <v/>
          </cell>
        </row>
        <row r="9917">
          <cell r="S9917" t="str">
            <v/>
          </cell>
        </row>
        <row r="9918">
          <cell r="S9918" t="str">
            <v/>
          </cell>
        </row>
        <row r="9919">
          <cell r="S9919" t="str">
            <v/>
          </cell>
        </row>
        <row r="9920">
          <cell r="S9920" t="str">
            <v/>
          </cell>
        </row>
        <row r="9921">
          <cell r="S9921" t="str">
            <v/>
          </cell>
        </row>
        <row r="9922">
          <cell r="S9922" t="str">
            <v/>
          </cell>
        </row>
        <row r="9923">
          <cell r="S9923" t="str">
            <v/>
          </cell>
        </row>
        <row r="9924">
          <cell r="S9924" t="str">
            <v/>
          </cell>
        </row>
        <row r="9925">
          <cell r="S9925" t="str">
            <v/>
          </cell>
        </row>
        <row r="9926">
          <cell r="S9926" t="str">
            <v/>
          </cell>
        </row>
        <row r="9927">
          <cell r="S9927" t="str">
            <v/>
          </cell>
        </row>
        <row r="9928">
          <cell r="S9928" t="str">
            <v/>
          </cell>
        </row>
        <row r="9929">
          <cell r="S9929" t="str">
            <v/>
          </cell>
        </row>
        <row r="9930">
          <cell r="S9930" t="str">
            <v/>
          </cell>
        </row>
        <row r="9931">
          <cell r="S9931" t="str">
            <v/>
          </cell>
        </row>
        <row r="9932">
          <cell r="S9932" t="str">
            <v/>
          </cell>
        </row>
        <row r="9933">
          <cell r="S9933" t="str">
            <v/>
          </cell>
        </row>
        <row r="9934">
          <cell r="S9934" t="str">
            <v/>
          </cell>
        </row>
        <row r="9935">
          <cell r="S9935" t="str">
            <v/>
          </cell>
        </row>
        <row r="9936">
          <cell r="S9936" t="str">
            <v/>
          </cell>
        </row>
        <row r="9937">
          <cell r="S9937" t="str">
            <v/>
          </cell>
        </row>
        <row r="9938">
          <cell r="S9938" t="str">
            <v/>
          </cell>
        </row>
        <row r="9939">
          <cell r="S9939" t="str">
            <v/>
          </cell>
        </row>
        <row r="9940">
          <cell r="S9940" t="str">
            <v/>
          </cell>
        </row>
        <row r="9941">
          <cell r="S9941" t="str">
            <v/>
          </cell>
        </row>
        <row r="9942">
          <cell r="S9942" t="str">
            <v/>
          </cell>
        </row>
        <row r="9943">
          <cell r="S9943" t="str">
            <v/>
          </cell>
        </row>
        <row r="9944">
          <cell r="S9944" t="str">
            <v/>
          </cell>
        </row>
        <row r="9945">
          <cell r="S9945" t="str">
            <v/>
          </cell>
        </row>
        <row r="9946">
          <cell r="S9946" t="str">
            <v/>
          </cell>
        </row>
        <row r="9947">
          <cell r="S9947" t="str">
            <v/>
          </cell>
        </row>
        <row r="9948">
          <cell r="S9948" t="str">
            <v/>
          </cell>
        </row>
        <row r="9949">
          <cell r="S9949" t="str">
            <v/>
          </cell>
        </row>
        <row r="9950">
          <cell r="S9950" t="str">
            <v/>
          </cell>
        </row>
        <row r="9951">
          <cell r="S9951" t="str">
            <v/>
          </cell>
        </row>
        <row r="9952">
          <cell r="S9952" t="str">
            <v/>
          </cell>
        </row>
        <row r="9953">
          <cell r="S9953" t="str">
            <v/>
          </cell>
        </row>
        <row r="9954">
          <cell r="S9954" t="str">
            <v/>
          </cell>
        </row>
        <row r="9955">
          <cell r="S9955" t="str">
            <v/>
          </cell>
        </row>
        <row r="9956">
          <cell r="S9956" t="str">
            <v/>
          </cell>
        </row>
        <row r="9957">
          <cell r="S9957" t="str">
            <v/>
          </cell>
        </row>
        <row r="9958">
          <cell r="S9958" t="str">
            <v/>
          </cell>
        </row>
        <row r="9959">
          <cell r="S9959" t="str">
            <v/>
          </cell>
        </row>
        <row r="9960">
          <cell r="S9960" t="str">
            <v/>
          </cell>
        </row>
        <row r="9961">
          <cell r="S9961" t="str">
            <v/>
          </cell>
        </row>
        <row r="9962">
          <cell r="S9962" t="str">
            <v/>
          </cell>
        </row>
        <row r="9963">
          <cell r="S9963" t="str">
            <v/>
          </cell>
        </row>
        <row r="9964">
          <cell r="S9964" t="str">
            <v/>
          </cell>
        </row>
        <row r="9965">
          <cell r="S9965" t="str">
            <v/>
          </cell>
        </row>
        <row r="9966">
          <cell r="S9966" t="str">
            <v/>
          </cell>
        </row>
        <row r="9967">
          <cell r="S9967" t="str">
            <v/>
          </cell>
        </row>
        <row r="9968">
          <cell r="S9968" t="str">
            <v/>
          </cell>
        </row>
        <row r="9969">
          <cell r="S9969" t="str">
            <v/>
          </cell>
        </row>
        <row r="9970">
          <cell r="S9970" t="str">
            <v/>
          </cell>
        </row>
        <row r="9971">
          <cell r="S9971" t="str">
            <v/>
          </cell>
        </row>
        <row r="9972">
          <cell r="S9972" t="str">
            <v/>
          </cell>
        </row>
        <row r="9973">
          <cell r="S9973" t="str">
            <v/>
          </cell>
        </row>
        <row r="9974">
          <cell r="S9974" t="str">
            <v/>
          </cell>
        </row>
        <row r="9975">
          <cell r="S9975" t="str">
            <v/>
          </cell>
        </row>
        <row r="9976">
          <cell r="S9976" t="str">
            <v/>
          </cell>
        </row>
        <row r="9977">
          <cell r="S9977" t="str">
            <v/>
          </cell>
        </row>
        <row r="9978">
          <cell r="S9978" t="str">
            <v/>
          </cell>
        </row>
        <row r="9979">
          <cell r="S9979" t="str">
            <v/>
          </cell>
        </row>
        <row r="9980">
          <cell r="S9980" t="str">
            <v/>
          </cell>
        </row>
        <row r="9981">
          <cell r="S9981" t="str">
            <v/>
          </cell>
        </row>
        <row r="9982">
          <cell r="S9982" t="str">
            <v/>
          </cell>
        </row>
        <row r="9983">
          <cell r="S9983" t="str">
            <v/>
          </cell>
        </row>
        <row r="9984">
          <cell r="S9984" t="str">
            <v/>
          </cell>
        </row>
        <row r="9985">
          <cell r="S9985" t="str">
            <v/>
          </cell>
        </row>
        <row r="9986">
          <cell r="S9986" t="str">
            <v/>
          </cell>
        </row>
        <row r="9987">
          <cell r="S9987" t="str">
            <v/>
          </cell>
        </row>
        <row r="9988">
          <cell r="S9988" t="str">
            <v/>
          </cell>
        </row>
        <row r="9989">
          <cell r="S9989" t="str">
            <v/>
          </cell>
        </row>
        <row r="9990">
          <cell r="S9990" t="str">
            <v/>
          </cell>
        </row>
        <row r="9991">
          <cell r="S9991" t="str">
            <v/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4"/>
  <sheetViews>
    <sheetView tabSelected="1" workbookViewId="0">
      <selection activeCell="C16" sqref="C16"/>
    </sheetView>
  </sheetViews>
  <sheetFormatPr defaultColWidth="8.88888888888889" defaultRowHeight="14.4"/>
  <cols>
    <col min="1" max="1" width="4.77777777777778" customWidth="1"/>
    <col min="2" max="3" width="8.11111111111111" customWidth="1"/>
    <col min="4" max="4" width="11.6666666666667" customWidth="1"/>
    <col min="5" max="5" width="9.44444444444444" customWidth="1"/>
    <col min="6" max="6" width="10.4444444444444" customWidth="1"/>
    <col min="7" max="7" width="8.11111111111111" customWidth="1"/>
    <col min="8" max="8" width="6.77777777777778" customWidth="1"/>
    <col min="9" max="9" width="8.11111111111111" customWidth="1"/>
    <col min="10" max="10" width="10.4444444444444" customWidth="1"/>
    <col min="11" max="11" width="9.44444444444444" customWidth="1"/>
    <col min="12" max="12" width="8.55555555555556" customWidth="1"/>
    <col min="13" max="13" width="7.66666666666667" customWidth="1"/>
    <col min="14" max="14" width="5.88888888888889" customWidth="1"/>
    <col min="15" max="15" width="9.44444444444444" customWidth="1"/>
    <col min="16" max="17" width="8.11111111111111" customWidth="1"/>
    <col min="18" max="18" width="6.44444444444444" customWidth="1"/>
    <col min="19" max="19" width="28.5555555555556" customWidth="1"/>
    <col min="20" max="20" width="17.2222222222222" customWidth="1"/>
    <col min="22" max="22" width="9.44444444444444"/>
    <col min="23" max="23" width="11.3333333333333"/>
  </cols>
  <sheetData>
    <row r="1" s="1" customFormat="1" ht="10.8" spans="1:21">
      <c r="J1" s="2" t="s">
        <v>0</v>
      </c>
      <c r="K1" s="3">
        <f t="shared" ref="K1:O1" si="0">K44</f>
        <v>453197.49</v>
      </c>
      <c r="L1" s="3">
        <f t="shared" si="0"/>
        <v>38731.09</v>
      </c>
      <c r="M1" s="3">
        <f t="shared" si="0"/>
        <v>3058.65</v>
      </c>
      <c r="N1" s="3">
        <f t="shared" si="0"/>
        <v>16495</v>
      </c>
      <c r="O1" s="3">
        <f t="shared" si="0"/>
        <v>436702.49</v>
      </c>
    </row>
    <row r="2" s="1" customFormat="1" ht="10.8" spans="1:21">
      <c r="J2" s="4" t="s">
        <v>1</v>
      </c>
      <c r="K2" s="5">
        <f t="shared" ref="K2:O2" si="1">K48</f>
        <v>0</v>
      </c>
      <c r="L2" s="5">
        <f t="shared" si="1"/>
        <v>0</v>
      </c>
      <c r="M2" s="5">
        <f t="shared" si="1"/>
        <v>0</v>
      </c>
      <c r="N2" s="5">
        <f t="shared" si="1"/>
        <v>0</v>
      </c>
      <c r="O2" s="5">
        <f t="shared" si="1"/>
        <v>0</v>
      </c>
    </row>
    <row r="3" s="1" customFormat="1" ht="10.8" spans="1:21">
      <c r="E3" s="1">
        <f>SUM(E5:E43)</f>
        <v>704610.67</v>
      </c>
      <c r="J3" s="6" t="s">
        <v>2</v>
      </c>
      <c r="K3" s="7">
        <f t="shared" ref="K3:O3" si="2">SUM(K1:K2)</f>
        <v>453197.49</v>
      </c>
      <c r="L3" s="7">
        <f t="shared" si="2"/>
        <v>38731.09</v>
      </c>
      <c r="M3" s="7">
        <f t="shared" si="2"/>
        <v>3058.65</v>
      </c>
      <c r="N3" s="7">
        <f t="shared" si="2"/>
        <v>16495</v>
      </c>
      <c r="O3" s="7">
        <f t="shared" si="2"/>
        <v>436702.49</v>
      </c>
    </row>
    <row r="4" s="1" customFormat="1" ht="10.8" spans="1:2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9" t="s">
        <v>16</v>
      </c>
      <c r="O4" s="10" t="s">
        <v>17</v>
      </c>
      <c r="P4" s="10" t="s">
        <v>18</v>
      </c>
      <c r="Q4" s="10" t="s">
        <v>19</v>
      </c>
      <c r="R4" s="10" t="s">
        <v>20</v>
      </c>
      <c r="S4" s="10" t="s">
        <v>21</v>
      </c>
      <c r="T4" s="8" t="s">
        <v>22</v>
      </c>
      <c r="U4" s="1" t="s">
        <v>23</v>
      </c>
    </row>
    <row r="5" s="1" customFormat="1" ht="10.8" spans="1:21">
      <c r="A5" s="8">
        <v>1</v>
      </c>
      <c r="B5" s="11" t="s">
        <v>24</v>
      </c>
      <c r="C5" s="11" t="s">
        <v>0</v>
      </c>
      <c r="D5" s="11" t="s">
        <v>25</v>
      </c>
      <c r="E5" s="11">
        <v>12500</v>
      </c>
      <c r="F5" s="12">
        <v>44821</v>
      </c>
      <c r="G5" s="11">
        <v>12</v>
      </c>
      <c r="H5" s="13">
        <v>0.234</v>
      </c>
      <c r="I5" s="11" t="s">
        <v>26</v>
      </c>
      <c r="J5" s="12">
        <v>45074</v>
      </c>
      <c r="K5" s="11">
        <v>5677.7</v>
      </c>
      <c r="L5" s="11">
        <v>346.87</v>
      </c>
      <c r="M5" s="11"/>
      <c r="N5" s="11">
        <f>SUMIFS([1]录入!$S:$S,[1]录入!$M:$M,"网贷还本",[1]录入!$R:$R,D5)</f>
        <v>0</v>
      </c>
      <c r="O5" s="11">
        <f t="shared" ref="O5:O42" si="3">K5-N5</f>
        <v>5677.7</v>
      </c>
      <c r="P5" s="11">
        <f ca="1" t="shared" ref="P5:P43" si="4">TODAY()-J5</f>
        <v>1131</v>
      </c>
      <c r="Q5" s="14">
        <f ca="1" t="shared" ref="Q5:Q43" si="5">P5/365</f>
        <v>3.0986301369863</v>
      </c>
      <c r="R5" s="14"/>
      <c r="S5" s="14"/>
      <c r="T5" s="11"/>
    </row>
    <row r="6" s="1" customFormat="1" ht="10.8" spans="1:21">
      <c r="A6" s="8">
        <v>2</v>
      </c>
      <c r="B6" s="11" t="s">
        <v>24</v>
      </c>
      <c r="C6" s="11" t="s">
        <v>0</v>
      </c>
      <c r="D6" s="11" t="s">
        <v>25</v>
      </c>
      <c r="E6" s="11">
        <v>15000</v>
      </c>
      <c r="F6" s="12">
        <v>44823</v>
      </c>
      <c r="G6" s="11">
        <v>12</v>
      </c>
      <c r="H6" s="13">
        <v>0.234</v>
      </c>
      <c r="I6" s="11" t="s">
        <v>26</v>
      </c>
      <c r="J6" s="12">
        <v>45074</v>
      </c>
      <c r="K6" s="11">
        <v>6791.27</v>
      </c>
      <c r="L6" s="11">
        <v>313.96</v>
      </c>
      <c r="M6" s="11"/>
      <c r="N6" s="11">
        <f>SUMIFS([1]录入!$S:$S,[1]录入!$M:$M,"网贷还本",[1]录入!$R:$R,D6)</f>
        <v>0</v>
      </c>
      <c r="O6" s="11">
        <f t="shared" si="3"/>
        <v>6791.27</v>
      </c>
      <c r="P6" s="11">
        <f ca="1" t="shared" si="4"/>
        <v>1131</v>
      </c>
      <c r="Q6" s="14">
        <f ca="1" t="shared" si="5"/>
        <v>3.0986301369863</v>
      </c>
      <c r="R6" s="14"/>
      <c r="S6" s="14"/>
      <c r="T6" s="11"/>
    </row>
    <row r="7" s="1" customFormat="1" ht="10.8" spans="1:21">
      <c r="A7" s="8">
        <v>3</v>
      </c>
      <c r="B7" s="11" t="s">
        <v>24</v>
      </c>
      <c r="C7" s="11" t="s">
        <v>0</v>
      </c>
      <c r="D7" s="11" t="s">
        <v>25</v>
      </c>
      <c r="E7" s="11">
        <v>20000</v>
      </c>
      <c r="F7" s="12">
        <v>44824</v>
      </c>
      <c r="G7" s="11">
        <v>12</v>
      </c>
      <c r="H7" s="13">
        <v>0.234</v>
      </c>
      <c r="I7" s="11" t="s">
        <v>26</v>
      </c>
      <c r="J7" s="12">
        <v>45074</v>
      </c>
      <c r="K7" s="11">
        <v>9040.46</v>
      </c>
      <c r="L7" s="11">
        <v>550.46</v>
      </c>
      <c r="M7" s="11"/>
      <c r="N7" s="11">
        <f>SUMIFS([1]录入!$S:$S,[1]录入!$M:$M,"网贷还本",[1]录入!$R:$R,D7)</f>
        <v>0</v>
      </c>
      <c r="O7" s="11">
        <f t="shared" si="3"/>
        <v>9040.46</v>
      </c>
      <c r="P7" s="11">
        <f ca="1" t="shared" si="4"/>
        <v>1131</v>
      </c>
      <c r="Q7" s="14">
        <f ca="1" t="shared" si="5"/>
        <v>3.0986301369863</v>
      </c>
      <c r="R7" s="14"/>
      <c r="S7" s="14"/>
      <c r="T7" s="11"/>
    </row>
    <row r="8" s="1" customFormat="1" ht="10.8" spans="1:21">
      <c r="A8" s="8">
        <v>4</v>
      </c>
      <c r="B8" s="11" t="s">
        <v>24</v>
      </c>
      <c r="C8" s="11" t="s">
        <v>0</v>
      </c>
      <c r="D8" s="11" t="s">
        <v>25</v>
      </c>
      <c r="E8" s="11">
        <v>10300</v>
      </c>
      <c r="F8" s="12">
        <v>44879</v>
      </c>
      <c r="G8" s="11">
        <v>12</v>
      </c>
      <c r="H8" s="13">
        <v>0.234</v>
      </c>
      <c r="I8" s="11" t="s">
        <v>26</v>
      </c>
      <c r="J8" s="12">
        <v>45074</v>
      </c>
      <c r="K8" s="11">
        <v>6404.13</v>
      </c>
      <c r="L8" s="11">
        <v>425.47</v>
      </c>
      <c r="M8" s="11"/>
      <c r="N8" s="11">
        <f>SUMIFS([1]录入!$S:$S,[1]录入!$M:$M,"网贷还本",[1]录入!$R:$R,D8)</f>
        <v>0</v>
      </c>
      <c r="O8" s="11">
        <f t="shared" si="3"/>
        <v>6404.13</v>
      </c>
      <c r="P8" s="11">
        <f ca="1" t="shared" si="4"/>
        <v>1131</v>
      </c>
      <c r="Q8" s="14">
        <f ca="1" t="shared" si="5"/>
        <v>3.0986301369863</v>
      </c>
      <c r="R8" s="14"/>
      <c r="S8" s="14"/>
      <c r="T8" s="11"/>
    </row>
    <row r="9" s="1" customFormat="1" ht="10.8" spans="1:21">
      <c r="A9" s="8">
        <v>5</v>
      </c>
      <c r="B9" s="11" t="s">
        <v>24</v>
      </c>
      <c r="C9" s="11" t="s">
        <v>0</v>
      </c>
      <c r="D9" s="11" t="s">
        <v>27</v>
      </c>
      <c r="E9" s="11">
        <v>20000</v>
      </c>
      <c r="F9" s="12">
        <v>44797</v>
      </c>
      <c r="G9" s="11">
        <v>12</v>
      </c>
      <c r="H9" s="13">
        <v>0.234</v>
      </c>
      <c r="I9" s="11" t="s">
        <v>26</v>
      </c>
      <c r="J9" s="12">
        <v>45074</v>
      </c>
      <c r="K9" s="11">
        <v>7284.02</v>
      </c>
      <c r="L9" s="11">
        <v>266.51</v>
      </c>
      <c r="M9" s="11"/>
      <c r="N9" s="11">
        <f>SUMIFS([1]录入!$S:$S,[1]录入!$M:$M,"网贷还本",[1]录入!$R:$R,D9)</f>
        <v>0</v>
      </c>
      <c r="O9" s="11">
        <f t="shared" si="3"/>
        <v>7284.02</v>
      </c>
      <c r="P9" s="11">
        <f ca="1" t="shared" si="4"/>
        <v>1131</v>
      </c>
      <c r="Q9" s="14">
        <f ca="1" t="shared" si="5"/>
        <v>3.0986301369863</v>
      </c>
      <c r="R9" s="14"/>
      <c r="S9" s="14"/>
      <c r="T9" s="11"/>
    </row>
    <row r="10" s="1" customFormat="1" ht="10.8" spans="1:21">
      <c r="A10" s="8">
        <v>6</v>
      </c>
      <c r="B10" s="11" t="s">
        <v>24</v>
      </c>
      <c r="C10" s="11" t="s">
        <v>0</v>
      </c>
      <c r="D10" s="11" t="s">
        <v>27</v>
      </c>
      <c r="E10" s="11">
        <v>26000</v>
      </c>
      <c r="F10" s="12">
        <v>44816</v>
      </c>
      <c r="G10" s="11">
        <v>12</v>
      </c>
      <c r="H10" s="13">
        <v>0.234</v>
      </c>
      <c r="I10" s="11" t="s">
        <v>26</v>
      </c>
      <c r="J10" s="12">
        <v>45074</v>
      </c>
      <c r="K10" s="11">
        <v>11904.58</v>
      </c>
      <c r="L10" s="11">
        <v>731.34</v>
      </c>
      <c r="M10" s="11"/>
      <c r="N10" s="11">
        <f>SUMIFS([1]录入!$S:$S,[1]录入!$M:$M,"网贷还本",[1]录入!$R:$R,D10)</f>
        <v>0</v>
      </c>
      <c r="O10" s="11">
        <f t="shared" si="3"/>
        <v>11904.58</v>
      </c>
      <c r="P10" s="11">
        <f ca="1" t="shared" si="4"/>
        <v>1131</v>
      </c>
      <c r="Q10" s="14">
        <f ca="1" t="shared" si="5"/>
        <v>3.0986301369863</v>
      </c>
      <c r="R10" s="14"/>
      <c r="S10" s="14"/>
      <c r="T10" s="11"/>
    </row>
    <row r="11" s="1" customFormat="1" ht="10.8" spans="1:21">
      <c r="A11" s="8">
        <v>7</v>
      </c>
      <c r="B11" s="11" t="s">
        <v>24</v>
      </c>
      <c r="C11" s="11" t="s">
        <v>0</v>
      </c>
      <c r="D11" s="11" t="s">
        <v>28</v>
      </c>
      <c r="E11" s="11">
        <v>20000</v>
      </c>
      <c r="F11" s="12">
        <v>44788</v>
      </c>
      <c r="G11" s="11">
        <v>12</v>
      </c>
      <c r="H11" s="13">
        <v>0.234</v>
      </c>
      <c r="I11" s="11" t="s">
        <v>26</v>
      </c>
      <c r="J11" s="12">
        <v>45074</v>
      </c>
      <c r="K11" s="11">
        <v>7418.12</v>
      </c>
      <c r="L11" s="11">
        <v>377.46</v>
      </c>
      <c r="M11" s="11"/>
      <c r="N11" s="11">
        <f>SUMIFS([1]录入!$S:$S,[1]录入!$M:$M,"网贷还本",[1]录入!$R:$R,D11)</f>
        <v>0</v>
      </c>
      <c r="O11" s="11">
        <f t="shared" si="3"/>
        <v>7418.12</v>
      </c>
      <c r="P11" s="11">
        <f ca="1" t="shared" si="4"/>
        <v>1131</v>
      </c>
      <c r="Q11" s="14">
        <f ca="1" t="shared" si="5"/>
        <v>3.0986301369863</v>
      </c>
      <c r="R11" s="14"/>
      <c r="S11" s="14"/>
      <c r="T11" s="11"/>
    </row>
    <row r="12" s="1" customFormat="1" ht="10.8" spans="1:21">
      <c r="A12" s="8">
        <v>8</v>
      </c>
      <c r="B12" s="10" t="s">
        <v>24</v>
      </c>
      <c r="C12" s="10" t="s">
        <v>0</v>
      </c>
      <c r="D12" s="10" t="s">
        <v>28</v>
      </c>
      <c r="E12" s="10">
        <v>25000</v>
      </c>
      <c r="F12" s="15">
        <v>44819</v>
      </c>
      <c r="G12" s="10">
        <v>12</v>
      </c>
      <c r="H12" s="16">
        <v>0.234</v>
      </c>
      <c r="I12" s="10" t="s">
        <v>26</v>
      </c>
      <c r="J12" s="15">
        <v>45074</v>
      </c>
      <c r="K12" s="10">
        <v>11391.91</v>
      </c>
      <c r="L12" s="10">
        <v>697.55</v>
      </c>
      <c r="M12" s="10"/>
      <c r="N12" s="10">
        <f>SUMIFS([1]录入!$S:$S,[1]录入!$M:$M,"网贷还本",[1]录入!$R:$R,D12)</f>
        <v>0</v>
      </c>
      <c r="O12" s="10">
        <f t="shared" si="3"/>
        <v>11391.91</v>
      </c>
      <c r="P12" s="10">
        <f ca="1" t="shared" si="4"/>
        <v>1131</v>
      </c>
      <c r="Q12" s="17">
        <f ca="1" t="shared" si="5"/>
        <v>3.0986301369863</v>
      </c>
      <c r="R12" s="10" t="s">
        <v>29</v>
      </c>
      <c r="S12" s="10" t="s">
        <v>30</v>
      </c>
      <c r="T12" s="11"/>
    </row>
    <row r="13" s="1" customFormat="1" ht="10.8" spans="1:21">
      <c r="A13" s="8">
        <v>9</v>
      </c>
      <c r="B13" s="11" t="s">
        <v>24</v>
      </c>
      <c r="C13" s="11" t="s">
        <v>0</v>
      </c>
      <c r="D13" s="11" t="s">
        <v>31</v>
      </c>
      <c r="E13" s="11">
        <v>12000</v>
      </c>
      <c r="F13" s="12">
        <v>44852</v>
      </c>
      <c r="G13" s="11">
        <v>12</v>
      </c>
      <c r="H13" s="13">
        <v>0.234</v>
      </c>
      <c r="I13" s="11" t="s">
        <v>26</v>
      </c>
      <c r="J13" s="12">
        <v>45074</v>
      </c>
      <c r="K13" s="11">
        <v>6448.81</v>
      </c>
      <c r="L13" s="11">
        <v>460.26</v>
      </c>
      <c r="M13" s="11"/>
      <c r="N13" s="11">
        <f>SUMIFS([1]录入!$S:$S,[1]录入!$M:$M,"网贷还本",[1]录入!$R:$R,D13)</f>
        <v>0</v>
      </c>
      <c r="O13" s="11">
        <f t="shared" si="3"/>
        <v>6448.81</v>
      </c>
      <c r="P13" s="11">
        <f ca="1" t="shared" si="4"/>
        <v>1131</v>
      </c>
      <c r="Q13" s="14">
        <f ca="1" t="shared" si="5"/>
        <v>3.0986301369863</v>
      </c>
      <c r="R13" s="14"/>
      <c r="S13" s="14"/>
      <c r="T13" s="11"/>
    </row>
    <row r="14" s="1" customFormat="1" ht="10.8" spans="1:21">
      <c r="A14" s="8">
        <v>10</v>
      </c>
      <c r="B14" s="11" t="s">
        <v>32</v>
      </c>
      <c r="C14" s="11" t="s">
        <v>0</v>
      </c>
      <c r="D14" s="11" t="s">
        <v>33</v>
      </c>
      <c r="E14" s="11">
        <v>9575</v>
      </c>
      <c r="F14" s="12">
        <v>44787</v>
      </c>
      <c r="G14" s="11">
        <v>12</v>
      </c>
      <c r="H14" s="13">
        <v>0.20075</v>
      </c>
      <c r="I14" s="11" t="s">
        <v>34</v>
      </c>
      <c r="J14" s="12">
        <v>45092</v>
      </c>
      <c r="K14" s="11">
        <v>9575</v>
      </c>
      <c r="L14" s="11">
        <v>484.48</v>
      </c>
      <c r="M14" s="11"/>
      <c r="N14" s="11">
        <f>SUMIFS([1]录入!$S:$S,[1]录入!$M:$M,"网贷还本",[1]录入!$R:$R,D14)</f>
        <v>0</v>
      </c>
      <c r="O14" s="11">
        <f t="shared" si="3"/>
        <v>9575</v>
      </c>
      <c r="P14" s="11">
        <f ca="1" t="shared" si="4"/>
        <v>1113</v>
      </c>
      <c r="Q14" s="14">
        <f ca="1" t="shared" si="5"/>
        <v>3.04931506849315</v>
      </c>
      <c r="R14" s="14"/>
      <c r="S14" s="14"/>
      <c r="T14" s="11"/>
    </row>
    <row r="15" s="1" customFormat="1" ht="10.8" spans="1:21">
      <c r="A15" s="8">
        <v>11</v>
      </c>
      <c r="B15" s="11" t="s">
        <v>32</v>
      </c>
      <c r="C15" s="11" t="s">
        <v>0</v>
      </c>
      <c r="D15" s="11" t="s">
        <v>33</v>
      </c>
      <c r="E15" s="11">
        <v>11000</v>
      </c>
      <c r="F15" s="12">
        <v>44725</v>
      </c>
      <c r="G15" s="11">
        <v>12</v>
      </c>
      <c r="H15" s="13">
        <v>0.146</v>
      </c>
      <c r="I15" s="11" t="s">
        <v>34</v>
      </c>
      <c r="J15" s="12">
        <v>45092</v>
      </c>
      <c r="K15" s="11">
        <v>11000</v>
      </c>
      <c r="L15" s="11">
        <v>132.81</v>
      </c>
      <c r="M15" s="11"/>
      <c r="N15" s="11">
        <f>SUMIFS([1]录入!$S:$S,[1]录入!$M:$M,"网贷还本",[1]录入!$R:$R,D15)</f>
        <v>0</v>
      </c>
      <c r="O15" s="11">
        <f t="shared" si="3"/>
        <v>11000</v>
      </c>
      <c r="P15" s="11">
        <f ca="1" t="shared" si="4"/>
        <v>1113</v>
      </c>
      <c r="Q15" s="14">
        <f ca="1" t="shared" si="5"/>
        <v>3.04931506849315</v>
      </c>
      <c r="R15" s="14"/>
      <c r="S15" s="14"/>
      <c r="T15" s="11"/>
    </row>
    <row r="16" s="1" customFormat="1" ht="10.8" spans="1:21">
      <c r="A16" s="8">
        <v>12</v>
      </c>
      <c r="B16" s="11" t="s">
        <v>32</v>
      </c>
      <c r="C16" s="11" t="s">
        <v>0</v>
      </c>
      <c r="D16" s="11" t="s">
        <v>33</v>
      </c>
      <c r="E16" s="11">
        <v>2200</v>
      </c>
      <c r="F16" s="12">
        <v>44818</v>
      </c>
      <c r="G16" s="11">
        <v>12</v>
      </c>
      <c r="H16" s="13">
        <v>0.20075</v>
      </c>
      <c r="I16" s="11" t="s">
        <v>34</v>
      </c>
      <c r="J16" s="12">
        <v>45092</v>
      </c>
      <c r="K16" s="11">
        <v>2200</v>
      </c>
      <c r="L16" s="11">
        <v>148.83</v>
      </c>
      <c r="M16" s="11"/>
      <c r="N16" s="11">
        <f>SUMIFS([1]录入!$S:$S,[1]录入!$M:$M,"网贷还本",[1]录入!$R:$R,D16)</f>
        <v>0</v>
      </c>
      <c r="O16" s="11">
        <f t="shared" si="3"/>
        <v>2200</v>
      </c>
      <c r="P16" s="11">
        <f ca="1" t="shared" si="4"/>
        <v>1113</v>
      </c>
      <c r="Q16" s="14">
        <f ca="1" t="shared" si="5"/>
        <v>3.04931506849315</v>
      </c>
      <c r="R16" s="14"/>
      <c r="S16" s="14"/>
      <c r="T16" s="11"/>
    </row>
    <row r="17" s="1" customFormat="1" ht="10.8" spans="1:20">
      <c r="A17" s="8">
        <v>13</v>
      </c>
      <c r="B17" s="11" t="s">
        <v>32</v>
      </c>
      <c r="C17" s="11" t="s">
        <v>0</v>
      </c>
      <c r="D17" s="11" t="s">
        <v>33</v>
      </c>
      <c r="E17" s="11">
        <v>10400</v>
      </c>
      <c r="F17" s="12">
        <v>44848</v>
      </c>
      <c r="G17" s="11">
        <v>12</v>
      </c>
      <c r="H17" s="13">
        <v>0.20075</v>
      </c>
      <c r="I17" s="11" t="s">
        <v>34</v>
      </c>
      <c r="J17" s="12">
        <v>45092</v>
      </c>
      <c r="K17" s="11">
        <v>10400</v>
      </c>
      <c r="L17" s="11">
        <v>875.16</v>
      </c>
      <c r="M17" s="11"/>
      <c r="N17" s="11">
        <f>SUMIFS([1]录入!$S:$S,[1]录入!$M:$M,"网贷还本",[1]录入!$R:$R,D17)</f>
        <v>0</v>
      </c>
      <c r="O17" s="11">
        <f t="shared" si="3"/>
        <v>10400</v>
      </c>
      <c r="P17" s="11">
        <f ca="1" t="shared" si="4"/>
        <v>1113</v>
      </c>
      <c r="Q17" s="14">
        <f ca="1" t="shared" si="5"/>
        <v>3.04931506849315</v>
      </c>
      <c r="R17" s="14"/>
      <c r="S17" s="14"/>
      <c r="T17" s="11"/>
    </row>
    <row r="18" s="1" customFormat="1" ht="10.8" spans="1:20">
      <c r="A18" s="8">
        <v>14</v>
      </c>
      <c r="B18" s="11" t="s">
        <v>32</v>
      </c>
      <c r="C18" s="11" t="s">
        <v>0</v>
      </c>
      <c r="D18" s="11" t="s">
        <v>33</v>
      </c>
      <c r="E18" s="11">
        <v>12825</v>
      </c>
      <c r="F18" s="12">
        <v>44909</v>
      </c>
      <c r="G18" s="11">
        <v>12</v>
      </c>
      <c r="H18" s="13">
        <v>0.20075</v>
      </c>
      <c r="I18" s="11" t="s">
        <v>34</v>
      </c>
      <c r="J18" s="12">
        <v>45092</v>
      </c>
      <c r="K18" s="11">
        <v>12825</v>
      </c>
      <c r="L18" s="11">
        <v>1509.47</v>
      </c>
      <c r="M18" s="11"/>
      <c r="N18" s="11">
        <f>SUMIFS([1]录入!$S:$S,[1]录入!$M:$M,"网贷还本",[1]录入!$R:$R,D18)</f>
        <v>0</v>
      </c>
      <c r="O18" s="11">
        <f t="shared" si="3"/>
        <v>12825</v>
      </c>
      <c r="P18" s="11">
        <f ca="1" t="shared" si="4"/>
        <v>1113</v>
      </c>
      <c r="Q18" s="14">
        <f ca="1" t="shared" si="5"/>
        <v>3.04931506849315</v>
      </c>
      <c r="R18" s="14"/>
      <c r="S18" s="14"/>
      <c r="T18" s="11"/>
    </row>
    <row r="19" s="1" customFormat="1" ht="10.8" spans="1:20">
      <c r="A19" s="8">
        <v>15</v>
      </c>
      <c r="B19" s="11" t="s">
        <v>35</v>
      </c>
      <c r="C19" s="11" t="s">
        <v>0</v>
      </c>
      <c r="D19" s="11" t="s">
        <v>36</v>
      </c>
      <c r="E19" s="11">
        <v>30000</v>
      </c>
      <c r="F19" s="12">
        <v>45025</v>
      </c>
      <c r="G19" s="11">
        <v>24</v>
      </c>
      <c r="H19" s="13">
        <v>0.1764</v>
      </c>
      <c r="I19" s="11" t="s">
        <v>37</v>
      </c>
      <c r="J19" s="12">
        <v>45116</v>
      </c>
      <c r="K19" s="11">
        <v>25000</v>
      </c>
      <c r="L19" s="11">
        <v>2056.79</v>
      </c>
      <c r="M19" s="11"/>
      <c r="N19" s="11">
        <f>SUMIFS([1]录入!$S:$S,[1]录入!$M:$M,"网贷还本",[1]录入!$R:$R,D19)</f>
        <v>10530</v>
      </c>
      <c r="O19" s="11">
        <f t="shared" si="3"/>
        <v>14470</v>
      </c>
      <c r="P19" s="11">
        <f ca="1" t="shared" si="4"/>
        <v>1089</v>
      </c>
      <c r="Q19" s="14">
        <f ca="1" t="shared" si="5"/>
        <v>2.98356164383562</v>
      </c>
      <c r="R19" s="14"/>
      <c r="S19" s="14"/>
      <c r="T19" s="11"/>
    </row>
    <row r="20" s="1" customFormat="1" ht="10.8" spans="1:20">
      <c r="A20" s="8">
        <v>16</v>
      </c>
      <c r="B20" s="11" t="s">
        <v>38</v>
      </c>
      <c r="C20" s="11" t="s">
        <v>0</v>
      </c>
      <c r="D20" s="11"/>
      <c r="E20" s="11">
        <f>2818.56-228.01</f>
        <v>2590.55</v>
      </c>
      <c r="F20" s="12">
        <v>44946</v>
      </c>
      <c r="G20" s="11">
        <v>12</v>
      </c>
      <c r="H20" s="11"/>
      <c r="I20" s="11" t="s">
        <v>26</v>
      </c>
      <c r="J20" s="12">
        <v>45097</v>
      </c>
      <c r="K20" s="11">
        <v>1726.96</v>
      </c>
      <c r="L20" s="11">
        <v>152</v>
      </c>
      <c r="M20" s="11"/>
      <c r="N20" s="11">
        <f>SUMIFS([1]录入!$S:$S,[1]录入!$M:$M,"网贷还本",[1]录入!$R:$R,D20)</f>
        <v>0</v>
      </c>
      <c r="O20" s="11">
        <f t="shared" si="3"/>
        <v>1726.96</v>
      </c>
      <c r="P20" s="11">
        <f ca="1" t="shared" si="4"/>
        <v>1108</v>
      </c>
      <c r="Q20" s="14">
        <f ca="1" t="shared" si="5"/>
        <v>3.03561643835616</v>
      </c>
      <c r="R20" s="14"/>
      <c r="S20" s="14"/>
      <c r="T20" s="11" t="s">
        <v>39</v>
      </c>
    </row>
    <row r="21" s="1" customFormat="1" ht="10.8" spans="1:20">
      <c r="A21" s="8">
        <v>17</v>
      </c>
      <c r="B21" s="11" t="s">
        <v>38</v>
      </c>
      <c r="C21" s="11" t="s">
        <v>0</v>
      </c>
      <c r="D21" s="11"/>
      <c r="E21" s="11">
        <f>5821.39-470.88</f>
        <v>5350.51</v>
      </c>
      <c r="F21" s="12">
        <v>44910</v>
      </c>
      <c r="G21" s="11">
        <v>12</v>
      </c>
      <c r="H21" s="11"/>
      <c r="I21" s="11" t="s">
        <v>26</v>
      </c>
      <c r="J21" s="12">
        <v>45097</v>
      </c>
      <c r="K21" s="11">
        <v>3121.09</v>
      </c>
      <c r="L21" s="11">
        <v>274.68</v>
      </c>
      <c r="M21" s="11"/>
      <c r="N21" s="11">
        <f>SUMIFS([1]录入!$S:$S,[1]录入!$M:$M,"网贷还本",[1]录入!$R:$R,D21)</f>
        <v>0</v>
      </c>
      <c r="O21" s="11">
        <f t="shared" si="3"/>
        <v>3121.09</v>
      </c>
      <c r="P21" s="11">
        <f ca="1" t="shared" si="4"/>
        <v>1108</v>
      </c>
      <c r="Q21" s="14">
        <f ca="1" t="shared" si="5"/>
        <v>3.03561643835616</v>
      </c>
      <c r="R21" s="14"/>
      <c r="S21" s="14"/>
      <c r="T21" s="11" t="s">
        <v>39</v>
      </c>
    </row>
    <row r="22" s="1" customFormat="1" ht="10.8" spans="1:20">
      <c r="A22" s="8">
        <v>18</v>
      </c>
      <c r="B22" s="11" t="s">
        <v>38</v>
      </c>
      <c r="C22" s="11" t="s">
        <v>0</v>
      </c>
      <c r="D22" s="11"/>
      <c r="E22" s="11">
        <f>6821.37-551.76</f>
        <v>6269.61</v>
      </c>
      <c r="F22" s="12">
        <v>44882</v>
      </c>
      <c r="G22" s="11">
        <v>12</v>
      </c>
      <c r="H22" s="11"/>
      <c r="I22" s="11" t="s">
        <v>26</v>
      </c>
      <c r="J22" s="12">
        <v>45097</v>
      </c>
      <c r="K22" s="11">
        <v>3134.76</v>
      </c>
      <c r="L22" s="11">
        <v>275.88</v>
      </c>
      <c r="M22" s="11"/>
      <c r="N22" s="11">
        <f>SUMIFS([1]录入!$S:$S,[1]录入!$M:$M,"网贷还本",[1]录入!$R:$R,D22)</f>
        <v>0</v>
      </c>
      <c r="O22" s="11">
        <f t="shared" si="3"/>
        <v>3134.76</v>
      </c>
      <c r="P22" s="11">
        <f ca="1" t="shared" si="4"/>
        <v>1108</v>
      </c>
      <c r="Q22" s="14">
        <f ca="1" t="shared" si="5"/>
        <v>3.03561643835616</v>
      </c>
      <c r="R22" s="14"/>
      <c r="S22" s="14"/>
      <c r="T22" s="11" t="s">
        <v>39</v>
      </c>
    </row>
    <row r="23" s="1" customFormat="1" ht="10.8" spans="1:20">
      <c r="A23" s="8">
        <v>19</v>
      </c>
      <c r="B23" s="11" t="s">
        <v>40</v>
      </c>
      <c r="C23" s="11" t="s">
        <v>0</v>
      </c>
      <c r="D23" s="11" t="s">
        <v>41</v>
      </c>
      <c r="E23" s="11">
        <v>25000</v>
      </c>
      <c r="F23" s="12">
        <v>45042</v>
      </c>
      <c r="G23" s="11">
        <v>24</v>
      </c>
      <c r="H23" s="11"/>
      <c r="I23" s="11" t="s">
        <v>26</v>
      </c>
      <c r="J23" s="12">
        <v>45133</v>
      </c>
      <c r="K23" s="11">
        <v>23342.08</v>
      </c>
      <c r="L23" s="11">
        <v>5779.95</v>
      </c>
      <c r="M23" s="11"/>
      <c r="N23" s="11">
        <f>SUMIFS([1]录入!$S:$S,[1]录入!$M:$M,"网贷还本",[1]录入!$R:$R,D23)</f>
        <v>0</v>
      </c>
      <c r="O23" s="11">
        <f t="shared" si="3"/>
        <v>23342.08</v>
      </c>
      <c r="P23" s="11">
        <f ca="1" t="shared" si="4"/>
        <v>1072</v>
      </c>
      <c r="Q23" s="14">
        <f ca="1" t="shared" si="5"/>
        <v>2.93698630136986</v>
      </c>
      <c r="R23" s="14"/>
      <c r="S23" s="14"/>
      <c r="T23" s="11" t="s">
        <v>39</v>
      </c>
    </row>
    <row r="24" s="1" customFormat="1" ht="10.8" spans="1:20">
      <c r="A24" s="8">
        <v>20</v>
      </c>
      <c r="B24" s="11" t="s">
        <v>42</v>
      </c>
      <c r="C24" s="11" t="s">
        <v>0</v>
      </c>
      <c r="D24" s="11" t="s">
        <v>43</v>
      </c>
      <c r="E24" s="11">
        <v>9900</v>
      </c>
      <c r="F24" s="12">
        <v>44925</v>
      </c>
      <c r="G24" s="11">
        <v>12</v>
      </c>
      <c r="H24" s="13">
        <v>0.217156</v>
      </c>
      <c r="I24" s="11" t="s">
        <v>26</v>
      </c>
      <c r="J24" s="12">
        <v>45076</v>
      </c>
      <c r="K24" s="11">
        <v>6600</v>
      </c>
      <c r="L24" s="11">
        <v>801.84</v>
      </c>
      <c r="M24" s="11"/>
      <c r="N24" s="11">
        <f>SUMIFS([1]录入!$S:$S,[1]录入!$M:$M,"网贷还本",[1]录入!$R:$R,D24)</f>
        <v>0</v>
      </c>
      <c r="O24" s="11">
        <f t="shared" si="3"/>
        <v>6600</v>
      </c>
      <c r="P24" s="11">
        <f ca="1" t="shared" si="4"/>
        <v>1129</v>
      </c>
      <c r="Q24" s="14">
        <f ca="1" t="shared" si="5"/>
        <v>3.09315068493151</v>
      </c>
      <c r="R24" s="14"/>
      <c r="S24" s="14"/>
      <c r="T24" s="11"/>
    </row>
    <row r="25" s="1" customFormat="1" ht="10.8" spans="1:20">
      <c r="A25" s="8">
        <v>21</v>
      </c>
      <c r="B25" s="11" t="s">
        <v>42</v>
      </c>
      <c r="C25" s="11" t="s">
        <v>0</v>
      </c>
      <c r="D25" s="11" t="s">
        <v>43</v>
      </c>
      <c r="E25" s="11">
        <v>10000</v>
      </c>
      <c r="F25" s="12">
        <v>44925</v>
      </c>
      <c r="G25" s="11">
        <v>12</v>
      </c>
      <c r="H25" s="13">
        <v>0.217156</v>
      </c>
      <c r="I25" s="11" t="s">
        <v>26</v>
      </c>
      <c r="J25" s="12">
        <v>45076</v>
      </c>
      <c r="K25" s="11">
        <v>6666.64</v>
      </c>
      <c r="L25" s="11">
        <v>809.92</v>
      </c>
      <c r="M25" s="11"/>
      <c r="N25" s="11">
        <f>SUMIFS([1]录入!$S:$S,[1]录入!$M:$M,"网贷还本",[1]录入!$R:$R,D25)</f>
        <v>0</v>
      </c>
      <c r="O25" s="11">
        <f t="shared" si="3"/>
        <v>6666.64</v>
      </c>
      <c r="P25" s="11">
        <f ca="1" t="shared" si="4"/>
        <v>1129</v>
      </c>
      <c r="Q25" s="14">
        <f ca="1" t="shared" si="5"/>
        <v>3.09315068493151</v>
      </c>
      <c r="R25" s="14"/>
      <c r="S25" s="14"/>
      <c r="T25" s="11"/>
    </row>
    <row r="26" s="1" customFormat="1" ht="10.8" spans="1:20">
      <c r="A26" s="8">
        <v>22</v>
      </c>
      <c r="B26" s="11" t="s">
        <v>42</v>
      </c>
      <c r="C26" s="11" t="s">
        <v>0</v>
      </c>
      <c r="D26" s="11" t="s">
        <v>43</v>
      </c>
      <c r="E26" s="11">
        <v>12000</v>
      </c>
      <c r="F26" s="12">
        <v>44926</v>
      </c>
      <c r="G26" s="11">
        <v>12</v>
      </c>
      <c r="H26" s="13">
        <v>0.217156</v>
      </c>
      <c r="I26" s="11" t="s">
        <v>26</v>
      </c>
      <c r="J26" s="12">
        <v>45077</v>
      </c>
      <c r="K26" s="11">
        <v>8000</v>
      </c>
      <c r="L26" s="11">
        <v>971.92</v>
      </c>
      <c r="M26" s="11"/>
      <c r="N26" s="11">
        <f>SUMIFS([1]录入!$S:$S,[1]录入!$M:$M,"网贷还本",[1]录入!$R:$R,D26)</f>
        <v>0</v>
      </c>
      <c r="O26" s="11">
        <f t="shared" si="3"/>
        <v>8000</v>
      </c>
      <c r="P26" s="11">
        <f ca="1" t="shared" si="4"/>
        <v>1128</v>
      </c>
      <c r="Q26" s="14">
        <f ca="1" t="shared" si="5"/>
        <v>3.09041095890411</v>
      </c>
      <c r="R26" s="14"/>
      <c r="S26" s="14"/>
      <c r="T26" s="11"/>
    </row>
    <row r="27" s="1" customFormat="1" ht="10.8" spans="1:20">
      <c r="A27" s="8">
        <v>23</v>
      </c>
      <c r="B27" s="11" t="s">
        <v>42</v>
      </c>
      <c r="C27" s="11" t="s">
        <v>0</v>
      </c>
      <c r="D27" s="11" t="s">
        <v>44</v>
      </c>
      <c r="E27" s="11">
        <v>24000</v>
      </c>
      <c r="F27" s="12">
        <v>44899</v>
      </c>
      <c r="G27" s="11">
        <v>12</v>
      </c>
      <c r="H27" s="13">
        <v>0.217156</v>
      </c>
      <c r="I27" s="11" t="s">
        <v>26</v>
      </c>
      <c r="J27" s="12">
        <v>45081</v>
      </c>
      <c r="K27" s="11">
        <v>14000</v>
      </c>
      <c r="L27" s="11">
        <v>1700.86</v>
      </c>
      <c r="M27" s="11"/>
      <c r="N27" s="11">
        <f>SUMIFS([1]录入!$S:$S,[1]录入!$M:$M,"网贷还本",[1]录入!$R:$R,D27)</f>
        <v>0</v>
      </c>
      <c r="O27" s="11">
        <f t="shared" si="3"/>
        <v>14000</v>
      </c>
      <c r="P27" s="11">
        <f ca="1" t="shared" si="4"/>
        <v>1124</v>
      </c>
      <c r="Q27" s="14">
        <f ca="1" t="shared" si="5"/>
        <v>3.07945205479452</v>
      </c>
      <c r="R27" s="14"/>
      <c r="S27" s="14"/>
      <c r="T27" s="11"/>
    </row>
    <row r="28" s="1" customFormat="1" ht="10.8" spans="1:20">
      <c r="A28" s="8">
        <v>24</v>
      </c>
      <c r="B28" s="11" t="s">
        <v>42</v>
      </c>
      <c r="C28" s="11" t="s">
        <v>0</v>
      </c>
      <c r="D28" s="11" t="s">
        <v>44</v>
      </c>
      <c r="E28" s="11">
        <v>3000</v>
      </c>
      <c r="F28" s="12">
        <v>44930</v>
      </c>
      <c r="G28" s="11">
        <v>12</v>
      </c>
      <c r="H28" s="13">
        <v>0.217207</v>
      </c>
      <c r="I28" s="11" t="s">
        <v>26</v>
      </c>
      <c r="J28" s="12">
        <v>45081</v>
      </c>
      <c r="K28" s="11">
        <v>2000</v>
      </c>
      <c r="L28" s="11">
        <v>242.96</v>
      </c>
      <c r="M28" s="11"/>
      <c r="N28" s="11">
        <f>SUMIFS([1]录入!$S:$S,[1]录入!$M:$M,"网贷还本",[1]录入!$R:$R,D28)</f>
        <v>0</v>
      </c>
      <c r="O28" s="11">
        <f t="shared" si="3"/>
        <v>2000</v>
      </c>
      <c r="P28" s="11">
        <f ca="1" t="shared" si="4"/>
        <v>1124</v>
      </c>
      <c r="Q28" s="14">
        <f ca="1" t="shared" si="5"/>
        <v>3.07945205479452</v>
      </c>
      <c r="R28" s="14"/>
      <c r="S28" s="14"/>
      <c r="T28" s="11"/>
    </row>
    <row r="29" s="1" customFormat="1" ht="10.8" spans="1:20">
      <c r="A29" s="8">
        <v>25</v>
      </c>
      <c r="B29" s="11" t="s">
        <v>42</v>
      </c>
      <c r="C29" s="11" t="s">
        <v>0</v>
      </c>
      <c r="D29" s="11" t="s">
        <v>43</v>
      </c>
      <c r="E29" s="11">
        <v>5000</v>
      </c>
      <c r="F29" s="12">
        <v>44939</v>
      </c>
      <c r="G29" s="11">
        <v>12</v>
      </c>
      <c r="H29" s="13">
        <v>0.21715</v>
      </c>
      <c r="I29" s="11" t="s">
        <v>26</v>
      </c>
      <c r="J29" s="12">
        <v>45090</v>
      </c>
      <c r="K29" s="11">
        <v>3333.36</v>
      </c>
      <c r="L29" s="11">
        <v>404.96</v>
      </c>
      <c r="M29" s="11"/>
      <c r="N29" s="11">
        <f>SUMIFS([1]录入!$S:$S,[1]录入!$M:$M,"网贷还本",[1]录入!$R:$R,D29)</f>
        <v>0</v>
      </c>
      <c r="O29" s="11">
        <f t="shared" si="3"/>
        <v>3333.36</v>
      </c>
      <c r="P29" s="11">
        <f ca="1" t="shared" si="4"/>
        <v>1115</v>
      </c>
      <c r="Q29" s="14">
        <f ca="1" t="shared" si="5"/>
        <v>3.05479452054795</v>
      </c>
      <c r="R29" s="14"/>
      <c r="S29" s="14"/>
      <c r="T29" s="11"/>
    </row>
    <row r="30" s="1" customFormat="1" ht="10.8" spans="1:20">
      <c r="A30" s="8">
        <v>26</v>
      </c>
      <c r="B30" s="11" t="s">
        <v>42</v>
      </c>
      <c r="C30" s="11" t="s">
        <v>0</v>
      </c>
      <c r="D30" s="11" t="s">
        <v>43</v>
      </c>
      <c r="E30" s="11">
        <v>9300</v>
      </c>
      <c r="F30" s="12">
        <v>44942</v>
      </c>
      <c r="G30" s="11">
        <v>12</v>
      </c>
      <c r="H30" s="13">
        <v>0.217167</v>
      </c>
      <c r="I30" s="11" t="s">
        <v>26</v>
      </c>
      <c r="J30" s="12">
        <v>45093</v>
      </c>
      <c r="K30" s="11">
        <v>6200</v>
      </c>
      <c r="L30" s="11">
        <v>753.2</v>
      </c>
      <c r="M30" s="11"/>
      <c r="N30" s="11">
        <f>SUMIFS([1]录入!$S:$S,[1]录入!$M:$M,"网贷还本",[1]录入!$R:$R,D30)</f>
        <v>0</v>
      </c>
      <c r="O30" s="11">
        <f t="shared" si="3"/>
        <v>6200</v>
      </c>
      <c r="P30" s="11">
        <f ca="1" t="shared" si="4"/>
        <v>1112</v>
      </c>
      <c r="Q30" s="14">
        <f ca="1" t="shared" si="5"/>
        <v>3.04657534246575</v>
      </c>
      <c r="R30" s="14"/>
      <c r="S30" s="14"/>
      <c r="T30" s="11"/>
    </row>
    <row r="31" s="1" customFormat="1" ht="10.8" spans="1:20">
      <c r="A31" s="8">
        <v>27</v>
      </c>
      <c r="B31" s="11" t="s">
        <v>42</v>
      </c>
      <c r="C31" s="11" t="s">
        <v>0</v>
      </c>
      <c r="D31" s="11" t="s">
        <v>43</v>
      </c>
      <c r="E31" s="11">
        <v>19400</v>
      </c>
      <c r="F31" s="12">
        <v>44883</v>
      </c>
      <c r="G31" s="11">
        <v>12</v>
      </c>
      <c r="H31" s="13">
        <v>0.23725</v>
      </c>
      <c r="I31" s="11" t="s">
        <v>26</v>
      </c>
      <c r="J31" s="12">
        <v>45095</v>
      </c>
      <c r="K31" s="11">
        <v>9700.02</v>
      </c>
      <c r="L31" s="11">
        <v>1262</v>
      </c>
      <c r="M31" s="11"/>
      <c r="N31" s="11">
        <f>SUMIFS([1]录入!$S:$S,[1]录入!$M:$M,"网贷还本",[1]录入!$R:$R,D31)</f>
        <v>0</v>
      </c>
      <c r="O31" s="11">
        <f t="shared" si="3"/>
        <v>9700.02</v>
      </c>
      <c r="P31" s="11">
        <f ca="1" t="shared" si="4"/>
        <v>1110</v>
      </c>
      <c r="Q31" s="14">
        <f ca="1" t="shared" si="5"/>
        <v>3.04109589041096</v>
      </c>
      <c r="R31" s="14"/>
      <c r="S31" s="14"/>
      <c r="T31" s="11"/>
    </row>
    <row r="32" s="1" customFormat="1" ht="10.8" spans="1:20">
      <c r="A32" s="8">
        <v>28</v>
      </c>
      <c r="B32" s="11" t="s">
        <v>42</v>
      </c>
      <c r="C32" s="11" t="s">
        <v>0</v>
      </c>
      <c r="D32" s="11" t="s">
        <v>43</v>
      </c>
      <c r="E32" s="11">
        <v>13000</v>
      </c>
      <c r="F32" s="12">
        <v>44827</v>
      </c>
      <c r="G32" s="11">
        <v>12</v>
      </c>
      <c r="H32" s="13">
        <v>0.217165</v>
      </c>
      <c r="I32" s="11" t="s">
        <v>26</v>
      </c>
      <c r="J32" s="12">
        <v>45100</v>
      </c>
      <c r="K32" s="11">
        <v>4333.32</v>
      </c>
      <c r="L32" s="11">
        <v>526.44</v>
      </c>
      <c r="M32" s="11"/>
      <c r="N32" s="11">
        <f>SUMIFS([1]录入!$S:$S,[1]录入!$M:$M,"网贷还本",[1]录入!$R:$R,D32)</f>
        <v>0</v>
      </c>
      <c r="O32" s="11">
        <f t="shared" si="3"/>
        <v>4333.32</v>
      </c>
      <c r="P32" s="11">
        <f ca="1" t="shared" si="4"/>
        <v>1105</v>
      </c>
      <c r="Q32" s="14">
        <f ca="1" t="shared" si="5"/>
        <v>3.02739726027397</v>
      </c>
      <c r="R32" s="14"/>
      <c r="S32" s="14"/>
      <c r="T32" s="11"/>
    </row>
    <row r="33" s="1" customFormat="1" ht="10.8" spans="1:23">
      <c r="A33" s="8">
        <v>29</v>
      </c>
      <c r="B33" s="11" t="s">
        <v>42</v>
      </c>
      <c r="C33" s="11" t="s">
        <v>0</v>
      </c>
      <c r="D33" s="11" t="s">
        <v>43</v>
      </c>
      <c r="E33" s="11">
        <v>2000</v>
      </c>
      <c r="F33" s="12">
        <v>44870</v>
      </c>
      <c r="G33" s="11">
        <v>12</v>
      </c>
      <c r="H33" s="13">
        <v>0.23725</v>
      </c>
      <c r="I33" s="11" t="s">
        <v>26</v>
      </c>
      <c r="J33" s="12">
        <v>45174</v>
      </c>
      <c r="K33" s="11">
        <v>500.01</v>
      </c>
      <c r="L33" s="11">
        <v>91.74</v>
      </c>
      <c r="M33" s="11"/>
      <c r="N33" s="11">
        <f>SUMIFS([1]录入!$S:$S,[1]录入!$M:$M,"网贷还本",[1]录入!$R:$R,D33)</f>
        <v>0</v>
      </c>
      <c r="O33" s="11">
        <f t="shared" si="3"/>
        <v>500.01</v>
      </c>
      <c r="P33" s="11">
        <f ca="1" t="shared" si="4"/>
        <v>1031</v>
      </c>
      <c r="Q33" s="14">
        <f ca="1" t="shared" si="5"/>
        <v>2.82465753424658</v>
      </c>
      <c r="R33" s="14"/>
      <c r="S33" s="14"/>
      <c r="T33" s="11"/>
    </row>
    <row r="34" s="1" customFormat="1" ht="10.8" spans="1:23">
      <c r="A34" s="8">
        <v>30</v>
      </c>
      <c r="B34" s="11" t="s">
        <v>42</v>
      </c>
      <c r="C34" s="11" t="s">
        <v>0</v>
      </c>
      <c r="D34" s="11" t="s">
        <v>43</v>
      </c>
      <c r="E34" s="11">
        <v>10000</v>
      </c>
      <c r="F34" s="12">
        <v>44851</v>
      </c>
      <c r="G34" s="11">
        <v>12</v>
      </c>
      <c r="H34" s="13">
        <v>0.23725</v>
      </c>
      <c r="I34" s="11" t="s">
        <v>26</v>
      </c>
      <c r="J34" s="12">
        <v>45186</v>
      </c>
      <c r="K34" s="11">
        <v>1241.82</v>
      </c>
      <c r="L34" s="11">
        <v>264.06</v>
      </c>
      <c r="M34" s="11"/>
      <c r="N34" s="11">
        <f>SUMIFS([1]录入!$S:$S,[1]录入!$M:$M,"网贷还本",[1]录入!$R:$R,D34)</f>
        <v>0</v>
      </c>
      <c r="O34" s="11">
        <f t="shared" si="3"/>
        <v>1241.82</v>
      </c>
      <c r="P34" s="11">
        <f ca="1" t="shared" si="4"/>
        <v>1019</v>
      </c>
      <c r="Q34" s="14">
        <f ca="1" t="shared" si="5"/>
        <v>2.79178082191781</v>
      </c>
      <c r="R34" s="14"/>
      <c r="S34" s="14"/>
      <c r="T34" s="11"/>
    </row>
    <row r="35" s="1" customFormat="1" ht="10.8" spans="1:23">
      <c r="A35" s="8">
        <v>31</v>
      </c>
      <c r="B35" s="10" t="s">
        <v>45</v>
      </c>
      <c r="C35" s="10" t="s">
        <v>0</v>
      </c>
      <c r="D35" s="10" t="s">
        <v>46</v>
      </c>
      <c r="E35" s="10">
        <v>20000</v>
      </c>
      <c r="F35" s="15">
        <v>44882</v>
      </c>
      <c r="G35" s="10">
        <v>36</v>
      </c>
      <c r="H35" s="16">
        <v>0.228125</v>
      </c>
      <c r="I35" s="10" t="s">
        <v>26</v>
      </c>
      <c r="J35" s="15">
        <v>45134</v>
      </c>
      <c r="K35" s="10">
        <v>17187.6</v>
      </c>
      <c r="L35" s="10">
        <v>5343.29</v>
      </c>
      <c r="M35" s="10"/>
      <c r="N35" s="10">
        <f>SUMIFS([1]录入!$S:$S,[1]录入!$M:$M,"网贷还本",[1]录入!$R:$R,D35)</f>
        <v>0</v>
      </c>
      <c r="O35" s="10">
        <f t="shared" si="3"/>
        <v>17187.6</v>
      </c>
      <c r="P35" s="10">
        <f ca="1" t="shared" si="4"/>
        <v>1071</v>
      </c>
      <c r="Q35" s="17">
        <f ca="1" t="shared" si="5"/>
        <v>2.93424657534247</v>
      </c>
      <c r="R35" s="10" t="s">
        <v>29</v>
      </c>
      <c r="S35" s="10" t="s">
        <v>47</v>
      </c>
      <c r="T35" s="11"/>
      <c r="U35" s="1">
        <v>29160.79</v>
      </c>
      <c r="V35" s="1">
        <f>SUM(K35:K37)</f>
        <v>47804.58</v>
      </c>
      <c r="W35" s="1">
        <f>U35/V35</f>
        <v>0.609999920509709</v>
      </c>
    </row>
    <row r="36" s="1" customFormat="1" ht="10.8" spans="1:23">
      <c r="A36" s="8">
        <v>32</v>
      </c>
      <c r="B36" s="10" t="s">
        <v>45</v>
      </c>
      <c r="C36" s="10" t="s">
        <v>0</v>
      </c>
      <c r="D36" s="10" t="s">
        <v>46</v>
      </c>
      <c r="E36" s="10">
        <v>30000</v>
      </c>
      <c r="F36" s="15">
        <v>44704</v>
      </c>
      <c r="G36" s="10">
        <v>24</v>
      </c>
      <c r="H36" s="16">
        <v>0.228125</v>
      </c>
      <c r="I36" s="10" t="s">
        <v>26</v>
      </c>
      <c r="J36" s="15">
        <v>45134</v>
      </c>
      <c r="K36" s="10">
        <v>15272.4</v>
      </c>
      <c r="L36" s="10">
        <v>1766.78</v>
      </c>
      <c r="M36" s="10"/>
      <c r="N36" s="10">
        <f>SUMIFS([1]录入!$S:$S,[1]录入!$M:$M,"网贷还本",[1]录入!$R:$R,D36)</f>
        <v>0</v>
      </c>
      <c r="O36" s="10">
        <f t="shared" si="3"/>
        <v>15272.4</v>
      </c>
      <c r="P36" s="10">
        <f ca="1" t="shared" si="4"/>
        <v>1071</v>
      </c>
      <c r="Q36" s="17">
        <f ca="1" t="shared" si="5"/>
        <v>2.93424657534247</v>
      </c>
      <c r="R36" s="10" t="s">
        <v>29</v>
      </c>
      <c r="S36" s="10" t="s">
        <v>47</v>
      </c>
      <c r="T36" s="11"/>
    </row>
    <row r="37" s="1" customFormat="1" ht="10.8" spans="1:23">
      <c r="A37" s="8">
        <v>33</v>
      </c>
      <c r="B37" s="10" t="s">
        <v>45</v>
      </c>
      <c r="C37" s="10" t="s">
        <v>0</v>
      </c>
      <c r="D37" s="10" t="s">
        <v>46</v>
      </c>
      <c r="E37" s="10">
        <v>50000</v>
      </c>
      <c r="F37" s="15">
        <v>44598</v>
      </c>
      <c r="G37" s="10">
        <v>24</v>
      </c>
      <c r="H37" s="16">
        <v>0.1095</v>
      </c>
      <c r="I37" s="10" t="s">
        <v>26</v>
      </c>
      <c r="J37" s="15">
        <v>45134</v>
      </c>
      <c r="K37" s="10">
        <v>15344.58</v>
      </c>
      <c r="L37" s="10">
        <v>525.4</v>
      </c>
      <c r="M37" s="10"/>
      <c r="N37" s="10">
        <f>SUMIFS([1]录入!$S:$S,[1]录入!$M:$M,"网贷还本",[1]录入!$R:$R,D37)</f>
        <v>0</v>
      </c>
      <c r="O37" s="10">
        <f t="shared" si="3"/>
        <v>15344.58</v>
      </c>
      <c r="P37" s="10">
        <f ca="1" t="shared" si="4"/>
        <v>1071</v>
      </c>
      <c r="Q37" s="17">
        <f ca="1" t="shared" si="5"/>
        <v>2.93424657534247</v>
      </c>
      <c r="R37" s="10" t="s">
        <v>29</v>
      </c>
      <c r="S37" s="10" t="s">
        <v>47</v>
      </c>
      <c r="T37" s="11"/>
    </row>
    <row r="38" s="1" customFormat="1" ht="10.8" spans="1:23">
      <c r="A38" s="8">
        <v>34</v>
      </c>
      <c r="B38" s="10" t="s">
        <v>48</v>
      </c>
      <c r="C38" s="10" t="s">
        <v>0</v>
      </c>
      <c r="D38" s="10" t="s">
        <v>49</v>
      </c>
      <c r="E38" s="10">
        <v>40000</v>
      </c>
      <c r="F38" s="15">
        <v>44953</v>
      </c>
      <c r="G38" s="10">
        <v>12</v>
      </c>
      <c r="H38" s="16"/>
      <c r="I38" s="10"/>
      <c r="J38" s="15">
        <v>45073</v>
      </c>
      <c r="K38" s="10">
        <v>30226.99</v>
      </c>
      <c r="L38" s="10">
        <v>624.46</v>
      </c>
      <c r="M38" s="10">
        <v>2518.78</v>
      </c>
      <c r="N38" s="10">
        <f>SUMIFS([1]录入!$S:$S,[1]录入!$M:$M,"网贷还本",[1]录入!$R:$R,D38)</f>
        <v>0</v>
      </c>
      <c r="O38" s="10">
        <f t="shared" si="3"/>
        <v>30226.99</v>
      </c>
      <c r="P38" s="10">
        <f ca="1" t="shared" si="4"/>
        <v>1132</v>
      </c>
      <c r="Q38" s="17">
        <f ca="1" t="shared" si="5"/>
        <v>3.1013698630137</v>
      </c>
      <c r="R38" s="10" t="s">
        <v>29</v>
      </c>
      <c r="S38" s="10" t="s">
        <v>50</v>
      </c>
      <c r="T38" s="11" t="s">
        <v>51</v>
      </c>
      <c r="W38" s="1">
        <f>V35-U35</f>
        <v>18643.79</v>
      </c>
    </row>
    <row r="39" s="1" customFormat="1" ht="10.8" spans="1:23">
      <c r="A39" s="8">
        <v>35</v>
      </c>
      <c r="B39" s="10" t="s">
        <v>48</v>
      </c>
      <c r="C39" s="10" t="s">
        <v>0</v>
      </c>
      <c r="D39" s="10" t="s">
        <v>49</v>
      </c>
      <c r="E39" s="10">
        <v>20000</v>
      </c>
      <c r="F39" s="15">
        <v>44953</v>
      </c>
      <c r="G39" s="10">
        <v>12</v>
      </c>
      <c r="H39" s="16"/>
      <c r="I39" s="10"/>
      <c r="J39" s="15">
        <v>45073</v>
      </c>
      <c r="K39" s="10">
        <v>14402.96</v>
      </c>
      <c r="L39" s="10">
        <v>386.74</v>
      </c>
      <c r="M39" s="10">
        <v>539.87</v>
      </c>
      <c r="N39" s="10">
        <f>SUMIFS([1]录入!$S:$S,[1]录入!$M:$M,"网贷还本",[1]录入!$R:$R,D39)</f>
        <v>0</v>
      </c>
      <c r="O39" s="10">
        <f t="shared" si="3"/>
        <v>14402.96</v>
      </c>
      <c r="P39" s="10">
        <f ca="1" t="shared" si="4"/>
        <v>1132</v>
      </c>
      <c r="Q39" s="17">
        <f ca="1" t="shared" si="5"/>
        <v>3.1013698630137</v>
      </c>
      <c r="R39" s="10" t="s">
        <v>29</v>
      </c>
      <c r="S39" s="10" t="s">
        <v>50</v>
      </c>
      <c r="T39" s="11" t="s">
        <v>51</v>
      </c>
      <c r="V39" s="1">
        <f>V35*0.4</f>
        <v>19121.832</v>
      </c>
    </row>
    <row r="40" s="1" customFormat="1" ht="10.8" spans="1:23">
      <c r="A40" s="8">
        <v>36</v>
      </c>
      <c r="B40" s="11" t="s">
        <v>52</v>
      </c>
      <c r="C40" s="11" t="s">
        <v>0</v>
      </c>
      <c r="D40" s="11" t="s">
        <v>53</v>
      </c>
      <c r="E40" s="11">
        <v>6500</v>
      </c>
      <c r="F40" s="12">
        <v>44923</v>
      </c>
      <c r="G40" s="11">
        <v>12</v>
      </c>
      <c r="H40" s="13">
        <v>0.234</v>
      </c>
      <c r="I40" s="11" t="s">
        <v>26</v>
      </c>
      <c r="J40" s="12">
        <v>45112</v>
      </c>
      <c r="K40" s="11">
        <v>3973.36</v>
      </c>
      <c r="L40" s="11">
        <v>315.9</v>
      </c>
      <c r="M40" s="11"/>
      <c r="N40" s="11">
        <f>SUMIFS([1]录入!$S:$S,[1]录入!$M:$M,"网贷还本",[1]录入!$R:$R,D40)</f>
        <v>0</v>
      </c>
      <c r="O40" s="11">
        <f t="shared" si="3"/>
        <v>3973.36</v>
      </c>
      <c r="P40" s="11">
        <f ca="1" t="shared" si="4"/>
        <v>1093</v>
      </c>
      <c r="Q40" s="14">
        <f ca="1" t="shared" si="5"/>
        <v>2.99452054794521</v>
      </c>
      <c r="R40" s="14"/>
      <c r="S40" s="14"/>
      <c r="T40" s="11"/>
    </row>
    <row r="41" s="1" customFormat="1" ht="10.8" spans="1:23">
      <c r="A41" s="8">
        <v>37</v>
      </c>
      <c r="B41" s="11" t="s">
        <v>54</v>
      </c>
      <c r="C41" s="11" t="s">
        <v>0</v>
      </c>
      <c r="D41" s="11" t="s">
        <v>55</v>
      </c>
      <c r="E41" s="11">
        <v>16000</v>
      </c>
      <c r="F41" s="12">
        <v>44997</v>
      </c>
      <c r="G41" s="11">
        <v>12</v>
      </c>
      <c r="H41" s="13">
        <v>0.1825</v>
      </c>
      <c r="I41" s="11" t="s">
        <v>37</v>
      </c>
      <c r="J41" s="12">
        <v>45112</v>
      </c>
      <c r="K41" s="11"/>
      <c r="L41" s="11"/>
      <c r="M41" s="11"/>
      <c r="N41" s="11">
        <f>SUMIFS([1]录入!$S:$S,[1]录入!$M:$M,"网贷还本",[1]录入!$R:$R,D41)</f>
        <v>0</v>
      </c>
      <c r="O41" s="11">
        <f t="shared" si="3"/>
        <v>0</v>
      </c>
      <c r="P41" s="11">
        <f ca="1" t="shared" si="4"/>
        <v>1093</v>
      </c>
      <c r="Q41" s="14">
        <f ca="1" t="shared" si="5"/>
        <v>2.99452054794521</v>
      </c>
      <c r="R41" s="14"/>
      <c r="S41" s="14"/>
      <c r="T41" s="11" t="s">
        <v>56</v>
      </c>
      <c r="W41" s="1">
        <f>O42/60</f>
        <v>762.483333333333</v>
      </c>
    </row>
    <row r="42" s="1" customFormat="1" ht="10.8" spans="1:23">
      <c r="A42" s="8">
        <v>38</v>
      </c>
      <c r="B42" s="11" t="s">
        <v>57</v>
      </c>
      <c r="C42" s="11" t="s">
        <v>58</v>
      </c>
      <c r="D42" s="11" t="s">
        <v>59</v>
      </c>
      <c r="E42" s="11">
        <v>52500</v>
      </c>
      <c r="F42" s="11"/>
      <c r="G42" s="11"/>
      <c r="H42" s="11"/>
      <c r="I42" s="11"/>
      <c r="J42" s="12">
        <v>45596</v>
      </c>
      <c r="K42" s="11">
        <v>51714</v>
      </c>
      <c r="L42" s="11"/>
      <c r="M42" s="11"/>
      <c r="N42" s="11">
        <f>SUMIFS([1]录入!$S:$S,[1]录入!$M:$M,"网贷还本",[1]录入!$R:$R,D42)</f>
        <v>5965</v>
      </c>
      <c r="O42" s="11">
        <f t="shared" si="3"/>
        <v>45749</v>
      </c>
      <c r="P42" s="11">
        <f ca="1" t="shared" si="4"/>
        <v>609</v>
      </c>
      <c r="Q42" s="14">
        <f ca="1" t="shared" si="5"/>
        <v>1.66849315068493</v>
      </c>
      <c r="R42" s="14"/>
      <c r="S42" s="14"/>
      <c r="T42" s="14">
        <f>O42/60</f>
        <v>762.483333333333</v>
      </c>
    </row>
    <row r="43" s="1" customFormat="1" ht="10.8" spans="1:23">
      <c r="A43" s="8">
        <v>39</v>
      </c>
      <c r="B43" s="11" t="s">
        <v>60</v>
      </c>
      <c r="C43" s="11" t="s">
        <v>58</v>
      </c>
      <c r="D43" s="11" t="s">
        <v>61</v>
      </c>
      <c r="E43" s="11">
        <v>76000</v>
      </c>
      <c r="F43" s="11"/>
      <c r="G43" s="11"/>
      <c r="H43" s="11"/>
      <c r="I43" s="11"/>
      <c r="J43" s="12">
        <v>45596</v>
      </c>
      <c r="K43" s="11">
        <v>67814.54</v>
      </c>
      <c r="L43" s="11">
        <v>6078.69</v>
      </c>
      <c r="M43" s="11"/>
      <c r="N43" s="11">
        <f>SUMIFS([1]录入!$S:$S,[1]录入!$M:$M,"网贷还本",[1]录入!$R:$R,D43)</f>
        <v>0</v>
      </c>
      <c r="O43" s="11">
        <v>67814.54</v>
      </c>
      <c r="P43" s="11">
        <f ca="1" t="shared" si="4"/>
        <v>609</v>
      </c>
      <c r="Q43" s="14">
        <f ca="1" t="shared" si="5"/>
        <v>1.66849315068493</v>
      </c>
      <c r="R43" s="14"/>
      <c r="S43" s="14"/>
      <c r="T43" s="14">
        <f>O43/60</f>
        <v>1130.24233333333</v>
      </c>
      <c r="U43" s="1">
        <v>86990.59</v>
      </c>
      <c r="V43" s="1">
        <v>9.25</v>
      </c>
    </row>
    <row r="44" s="1" customFormat="1" ht="10.8" spans="1:23">
      <c r="A44" s="18" t="s">
        <v>62</v>
      </c>
      <c r="B44" s="19"/>
      <c r="C44" s="20"/>
      <c r="D44" s="21"/>
      <c r="E44" s="21"/>
      <c r="F44" s="21"/>
      <c r="G44" s="21"/>
      <c r="H44" s="21"/>
      <c r="I44" s="21"/>
      <c r="J44" s="22"/>
      <c r="K44" s="21">
        <f t="shared" ref="K44:O44" si="6">SUM(K5:K43)</f>
        <v>453197.49</v>
      </c>
      <c r="L44" s="21">
        <f t="shared" si="6"/>
        <v>38731.09</v>
      </c>
      <c r="M44" s="21">
        <f t="shared" si="6"/>
        <v>3058.65</v>
      </c>
      <c r="N44" s="21">
        <f t="shared" si="6"/>
        <v>16495</v>
      </c>
      <c r="O44" s="21">
        <f t="shared" si="6"/>
        <v>436702.49</v>
      </c>
      <c r="P44" s="21"/>
      <c r="Q44" s="21"/>
      <c r="R44" s="21"/>
      <c r="S44" s="21"/>
      <c r="T44" s="21"/>
      <c r="V44" s="1">
        <v>6.26</v>
      </c>
    </row>
  </sheetData>
  <mergeCells count="1">
    <mergeCell ref="A44:B4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Kobe Stefanie</cp:lastModifiedBy>
  <dcterms:created xsi:type="dcterms:W3CDTF">2026-07-01T17:49:41Z</dcterms:created>
  <dcterms:modified xsi:type="dcterms:W3CDTF">2026-07-01T17:51:03Z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7C64F94D3CEA41AE8F7F1422F6ADEC05_11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