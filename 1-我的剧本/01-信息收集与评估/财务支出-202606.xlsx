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<sst xmlns="http://schemas.openxmlformats.org/spreadsheetml/2006/main" count="81" uniqueCount="71">
  <si>
    <t>年月</t>
  </si>
  <si>
    <t>账户总额</t>
  </si>
  <si>
    <t>造音师</t>
  </si>
  <si>
    <t>期初金额</t>
  </si>
  <si>
    <t>净现金流</t>
  </si>
  <si>
    <t>期末余额</t>
  </si>
  <si>
    <t>经营净收益</t>
  </si>
  <si>
    <t>收款合计</t>
  </si>
  <si>
    <t>投资合计</t>
  </si>
  <si>
    <t>债务合计</t>
  </si>
  <si>
    <t>支出合计</t>
  </si>
  <si>
    <t>收入</t>
  </si>
  <si>
    <t>风险金</t>
  </si>
  <si>
    <t>副投</t>
  </si>
  <si>
    <t>原生家庭</t>
  </si>
  <si>
    <t>恋爱</t>
  </si>
  <si>
    <t>基本生活</t>
  </si>
  <si>
    <t>提升情绪</t>
  </si>
  <si>
    <t>投资自己</t>
  </si>
  <si>
    <t>健康基金</t>
  </si>
  <si>
    <t>社保</t>
  </si>
  <si>
    <t>投资</t>
  </si>
  <si>
    <t>借款还款</t>
  </si>
  <si>
    <t>取得借款</t>
  </si>
  <si>
    <t>总支</t>
  </si>
  <si>
    <t>基础</t>
  </si>
  <si>
    <t>情绪</t>
  </si>
  <si>
    <t>投己</t>
  </si>
  <si>
    <t>健康</t>
  </si>
  <si>
    <t>不含恋爱、孝敬和风险金</t>
  </si>
  <si>
    <t>工资</t>
  </si>
  <si>
    <t>副入</t>
  </si>
  <si>
    <t>投资收益</t>
  </si>
  <si>
    <t>孝敬</t>
  </si>
  <si>
    <t>保山</t>
  </si>
  <si>
    <t>养育</t>
  </si>
  <si>
    <t>家医</t>
  </si>
  <si>
    <t>小计</t>
  </si>
  <si>
    <t>吃喝</t>
  </si>
  <si>
    <t>房租</t>
  </si>
  <si>
    <t>水电</t>
  </si>
  <si>
    <t>日用</t>
  </si>
  <si>
    <t>住宿</t>
  </si>
  <si>
    <t>出行</t>
  </si>
  <si>
    <t>话费</t>
  </si>
  <si>
    <t>社交</t>
  </si>
  <si>
    <t>小资</t>
  </si>
  <si>
    <t>游戏</t>
  </si>
  <si>
    <t>会员</t>
  </si>
  <si>
    <t>读书</t>
  </si>
  <si>
    <t>课程</t>
  </si>
  <si>
    <t>自医</t>
  </si>
  <si>
    <t>运动</t>
  </si>
  <si>
    <t>健它</t>
  </si>
  <si>
    <t>医保</t>
  </si>
  <si>
    <t>养老</t>
  </si>
  <si>
    <t>生育</t>
  </si>
  <si>
    <t>失业</t>
  </si>
  <si>
    <t>商业</t>
  </si>
  <si>
    <t>社杂</t>
  </si>
  <si>
    <t>对外投资</t>
  </si>
  <si>
    <t>收回投资</t>
  </si>
  <si>
    <t>个人还本</t>
  </si>
  <si>
    <t>网贷还本</t>
  </si>
  <si>
    <t>还息</t>
  </si>
  <si>
    <t>网诉</t>
  </si>
  <si>
    <t>个人借款</t>
  </si>
  <si>
    <t>网贷</t>
  </si>
  <si>
    <t>合计</t>
  </si>
  <si>
    <t>验证首尾</t>
  </si>
  <si>
    <t>验证明细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</si>
</sst>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_ "/>
  </numFmts>
  <fonts count="3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0"/>
      <name val="Microsoft YaHei"/>
      <charset val="134"/>
    </font>
    <font>
      <sz val="10"/>
      <color theme="1"/>
      <name val="Microsoft YaHei"/>
      <charset val="134"/>
    </font>
    <font>
      <sz val="10"/>
      <color theme="0"/>
      <name val="微软雅黑"/>
      <charset val="134"/>
    </font>
    <font>
      <sz val="10"/>
      <name val="微软雅黑"/>
      <charset val="134"/>
    </font>
    <font>
      <sz val="10"/>
      <color rgb="FFFFFF00"/>
      <name val="微软雅黑"/>
      <charset val="134"/>
    </font>
    <font>
      <sz val="10"/>
      <color rgb="FFFFFF00"/>
      <name val="Microsoft YaHei"/>
      <charset val="134"/>
    </font>
    <font>
      <sz val="10"/>
      <color theme="0"/>
      <name val="宋体"/>
      <charset val="134"/>
    </font>
    <font>
      <sz val="12"/>
      <color theme="0"/>
      <name val="宋体"/>
      <charset val="134"/>
    </font>
    <font>
      <sz val="10"/>
      <color rgb="FFFF0000"/>
      <name val="宋体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9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D5C0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5ED7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520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6DA6D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4" borderId="3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5" borderId="36" applyNumberFormat="0" applyAlignment="0" applyProtection="0">
      <alignment vertical="center"/>
    </xf>
    <xf numFmtId="0" fontId="28" fillId="36" borderId="37" applyNumberFormat="0" applyAlignment="0" applyProtection="0">
      <alignment vertical="center"/>
    </xf>
    <xf numFmtId="0" fontId="29" fillId="36" borderId="36" applyNumberFormat="0" applyAlignment="0" applyProtection="0">
      <alignment vertical="center"/>
    </xf>
    <xf numFmtId="0" fontId="30" fillId="37" borderId="38" applyNumberFormat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2" fillId="0" borderId="40" applyNumberFormat="0" applyFill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6" fillId="64" borderId="0" applyNumberFormat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Fill="1" applyAlignment="1"/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176" fontId="11" fillId="12" borderId="12" xfId="0" applyNumberFormat="1" applyFont="1" applyFill="1" applyBorder="1" applyAlignment="1">
      <alignment horizontal="center" vertical="center"/>
    </xf>
    <xf numFmtId="176" fontId="11" fillId="9" borderId="12" xfId="0" applyNumberFormat="1" applyFont="1" applyFill="1" applyBorder="1" applyAlignment="1">
      <alignment horizontal="center" vertical="center"/>
    </xf>
    <xf numFmtId="176" fontId="11" fillId="9" borderId="10" xfId="0" applyNumberFormat="1" applyFont="1" applyFill="1" applyBorder="1" applyAlignment="1">
      <alignment horizontal="center" vertical="center"/>
    </xf>
    <xf numFmtId="176" fontId="2" fillId="8" borderId="5" xfId="0" applyNumberFormat="1" applyFont="1" applyFill="1" applyBorder="1" applyAlignment="1">
      <alignment horizontal="center" vertical="center"/>
    </xf>
    <xf numFmtId="176" fontId="2" fillId="8" borderId="7" xfId="0" applyNumberFormat="1" applyFont="1" applyFill="1" applyBorder="1" applyAlignment="1">
      <alignment horizontal="center" vertical="center"/>
    </xf>
    <xf numFmtId="176" fontId="12" fillId="4" borderId="12" xfId="0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176" fontId="11" fillId="3" borderId="11" xfId="0" applyNumberFormat="1" applyFont="1" applyFill="1" applyBorder="1" applyAlignment="1">
      <alignment horizontal="center" vertical="center" wrapText="1"/>
    </xf>
    <xf numFmtId="176" fontId="11" fillId="3" borderId="11" xfId="0" applyNumberFormat="1" applyFont="1" applyFill="1" applyBorder="1" applyAlignment="1">
      <alignment horizontal="left" vertical="center" wrapText="1"/>
    </xf>
    <xf numFmtId="176" fontId="13" fillId="11" borderId="11" xfId="0" applyNumberFormat="1" applyFont="1" applyFill="1" applyBorder="1" applyAlignment="1">
      <alignment horizontal="center" vertical="center"/>
    </xf>
    <xf numFmtId="176" fontId="13" fillId="11" borderId="11" xfId="0" applyNumberFormat="1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8" fillId="11" borderId="16" xfId="0" applyFont="1" applyFill="1" applyBorder="1" applyAlignment="1">
      <alignment horizontal="center" vertical="center"/>
    </xf>
    <xf numFmtId="0" fontId="8" fillId="14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 wrapText="1"/>
    </xf>
    <xf numFmtId="0" fontId="6" fillId="12" borderId="18" xfId="0" applyFont="1" applyFill="1" applyBorder="1" applyAlignment="1">
      <alignment horizontal="center" vertical="center" wrapText="1"/>
    </xf>
    <xf numFmtId="0" fontId="6" fillId="12" borderId="16" xfId="0" applyFont="1" applyFill="1" applyBorder="1" applyAlignment="1">
      <alignment horizontal="center" vertical="center" wrapText="1"/>
    </xf>
    <xf numFmtId="0" fontId="6" fillId="12" borderId="17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6" fillId="14" borderId="20" xfId="0" applyFont="1" applyFill="1" applyBorder="1" applyAlignment="1">
      <alignment horizontal="center" vertical="center" wrapText="1"/>
    </xf>
    <xf numFmtId="0" fontId="5" fillId="15" borderId="18" xfId="0" applyFont="1" applyFill="1" applyBorder="1" applyAlignment="1">
      <alignment horizontal="center" vertical="center" wrapText="1"/>
    </xf>
    <xf numFmtId="0" fontId="5" fillId="15" borderId="16" xfId="0" applyFont="1" applyFill="1" applyBorder="1" applyAlignment="1">
      <alignment horizontal="center" vertical="center" wrapText="1"/>
    </xf>
    <xf numFmtId="0" fontId="6" fillId="14" borderId="16" xfId="0" applyFont="1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176" fontId="12" fillId="12" borderId="12" xfId="0" applyNumberFormat="1" applyFont="1" applyFill="1" applyBorder="1" applyAlignment="1">
      <alignment horizontal="center" vertical="center"/>
    </xf>
    <xf numFmtId="176" fontId="12" fillId="16" borderId="12" xfId="0" applyNumberFormat="1" applyFont="1" applyFill="1" applyBorder="1" applyAlignment="1">
      <alignment vertical="center"/>
    </xf>
    <xf numFmtId="176" fontId="12" fillId="16" borderId="16" xfId="0" applyNumberFormat="1" applyFont="1" applyFill="1" applyBorder="1" applyAlignment="1">
      <alignment vertical="center"/>
    </xf>
    <xf numFmtId="0" fontId="5" fillId="17" borderId="21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0" fontId="5" fillId="15" borderId="22" xfId="0" applyFont="1" applyFill="1" applyBorder="1" applyAlignment="1">
      <alignment horizontal="center" vertical="center" wrapText="1"/>
    </xf>
    <xf numFmtId="176" fontId="11" fillId="15" borderId="20" xfId="0" applyNumberFormat="1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/>
    </xf>
    <xf numFmtId="177" fontId="8" fillId="18" borderId="13" xfId="0" applyNumberFormat="1" applyFont="1" applyFill="1" applyBorder="1" applyAlignment="1">
      <alignment horizontal="center" vertical="center"/>
    </xf>
    <xf numFmtId="176" fontId="8" fillId="4" borderId="12" xfId="0" applyNumberFormat="1" applyFont="1" applyFill="1" applyBorder="1" applyAlignment="1">
      <alignment horizontal="center" vertical="center"/>
    </xf>
    <xf numFmtId="176" fontId="8" fillId="10" borderId="12" xfId="0" applyNumberFormat="1" applyFont="1" applyFill="1" applyBorder="1" applyAlignment="1">
      <alignment horizontal="center" vertical="center"/>
    </xf>
    <xf numFmtId="176" fontId="8" fillId="19" borderId="12" xfId="0" applyNumberFormat="1" applyFont="1" applyFill="1" applyBorder="1" applyAlignment="1">
      <alignment vertical="center"/>
    </xf>
    <xf numFmtId="176" fontId="8" fillId="20" borderId="10" xfId="0" applyNumberFormat="1" applyFont="1" applyFill="1" applyBorder="1" applyAlignment="1">
      <alignment vertical="center"/>
    </xf>
    <xf numFmtId="176" fontId="8" fillId="8" borderId="13" xfId="0" applyNumberFormat="1" applyFont="1" applyFill="1" applyBorder="1" applyAlignment="1">
      <alignment vertical="center"/>
    </xf>
    <xf numFmtId="176" fontId="8" fillId="12" borderId="12" xfId="0" applyNumberFormat="1" applyFont="1" applyFill="1" applyBorder="1" applyAlignment="1">
      <alignment vertical="center"/>
    </xf>
    <xf numFmtId="176" fontId="8" fillId="21" borderId="12" xfId="0" applyNumberFormat="1" applyFont="1" applyFill="1" applyBorder="1" applyAlignment="1">
      <alignment vertical="center"/>
    </xf>
    <xf numFmtId="176" fontId="8" fillId="11" borderId="10" xfId="0" applyNumberFormat="1" applyFont="1" applyFill="1" applyBorder="1" applyAlignment="1">
      <alignment vertical="center"/>
    </xf>
    <xf numFmtId="176" fontId="8" fillId="19" borderId="13" xfId="0" applyNumberFormat="1" applyFont="1" applyFill="1" applyBorder="1" applyAlignment="1">
      <alignment vertical="center"/>
    </xf>
    <xf numFmtId="176" fontId="8" fillId="22" borderId="12" xfId="0" applyNumberFormat="1" applyFont="1" applyFill="1" applyBorder="1" applyAlignment="1">
      <alignment vertical="center"/>
    </xf>
    <xf numFmtId="176" fontId="8" fillId="23" borderId="12" xfId="0" applyNumberFormat="1" applyFont="1" applyFill="1" applyBorder="1" applyAlignment="1">
      <alignment vertical="center"/>
    </xf>
    <xf numFmtId="176" fontId="8" fillId="24" borderId="12" xfId="0" applyNumberFormat="1" applyFont="1" applyFill="1" applyBorder="1" applyAlignment="1">
      <alignment vertical="center"/>
    </xf>
    <xf numFmtId="176" fontId="8" fillId="19" borderId="23" xfId="0" applyNumberFormat="1" applyFont="1" applyFill="1" applyBorder="1" applyAlignment="1">
      <alignment vertical="center"/>
    </xf>
    <xf numFmtId="176" fontId="8" fillId="25" borderId="24" xfId="0" applyNumberFormat="1" applyFont="1" applyFill="1" applyBorder="1" applyAlignment="1">
      <alignment vertical="center"/>
    </xf>
    <xf numFmtId="176" fontId="8" fillId="25" borderId="12" xfId="0" applyNumberFormat="1" applyFont="1" applyFill="1" applyBorder="1" applyAlignment="1">
      <alignment vertical="center"/>
    </xf>
    <xf numFmtId="176" fontId="8" fillId="25" borderId="23" xfId="0" applyNumberFormat="1" applyFont="1" applyFill="1" applyBorder="1" applyAlignment="1">
      <alignment vertical="center"/>
    </xf>
    <xf numFmtId="176" fontId="8" fillId="26" borderId="25" xfId="0" applyNumberFormat="1" applyFont="1" applyFill="1" applyBorder="1" applyAlignment="1">
      <alignment vertical="center"/>
    </xf>
    <xf numFmtId="176" fontId="8" fillId="27" borderId="24" xfId="0" applyNumberFormat="1" applyFont="1" applyFill="1" applyBorder="1" applyAlignment="1">
      <alignment vertical="center"/>
    </xf>
    <xf numFmtId="176" fontId="8" fillId="14" borderId="12" xfId="0" applyNumberFormat="1" applyFont="1" applyFill="1" applyBorder="1" applyAlignment="1">
      <alignment vertical="center"/>
    </xf>
    <xf numFmtId="176" fontId="8" fillId="28" borderId="12" xfId="0" applyNumberFormat="1" applyFont="1" applyFill="1" applyBorder="1" applyAlignment="1">
      <alignment vertical="center"/>
    </xf>
    <xf numFmtId="176" fontId="8" fillId="29" borderId="12" xfId="0" applyNumberFormat="1" applyFont="1" applyFill="1" applyBorder="1" applyAlignment="1">
      <alignment vertical="center"/>
    </xf>
    <xf numFmtId="176" fontId="8" fillId="30" borderId="12" xfId="0" applyNumberFormat="1" applyFont="1" applyFill="1" applyBorder="1" applyAlignment="1">
      <alignment vertical="center"/>
    </xf>
    <xf numFmtId="176" fontId="8" fillId="20" borderId="24" xfId="0" applyNumberFormat="1" applyFont="1" applyFill="1" applyBorder="1" applyAlignment="1">
      <alignment vertical="center"/>
    </xf>
    <xf numFmtId="176" fontId="8" fillId="20" borderId="12" xfId="0" applyNumberFormat="1" applyFont="1" applyFill="1" applyBorder="1" applyAlignment="1">
      <alignment vertical="center"/>
    </xf>
    <xf numFmtId="176" fontId="8" fillId="31" borderId="12" xfId="0" applyNumberFormat="1" applyFont="1" applyFill="1" applyBorder="1" applyAlignment="1">
      <alignment vertical="center"/>
    </xf>
    <xf numFmtId="176" fontId="8" fillId="32" borderId="12" xfId="0" applyNumberFormat="1" applyFont="1" applyFill="1" applyBorder="1" applyAlignment="1">
      <alignment vertical="center"/>
    </xf>
    <xf numFmtId="176" fontId="8" fillId="14" borderId="10" xfId="0" applyNumberFormat="1" applyFont="1" applyFill="1" applyBorder="1" applyAlignment="1">
      <alignment vertical="center"/>
    </xf>
    <xf numFmtId="0" fontId="8" fillId="18" borderId="13" xfId="0" applyFont="1" applyFill="1" applyBorder="1" applyAlignment="1">
      <alignment horizontal="center" vertical="center"/>
    </xf>
    <xf numFmtId="0" fontId="14" fillId="18" borderId="13" xfId="0" applyFont="1" applyFill="1" applyBorder="1" applyAlignment="1"/>
    <xf numFmtId="0" fontId="14" fillId="4" borderId="12" xfId="0" applyFont="1" applyFill="1" applyBorder="1" applyAlignment="1"/>
    <xf numFmtId="0" fontId="14" fillId="10" borderId="12" xfId="0" applyFont="1" applyFill="1" applyBorder="1" applyAlignment="1"/>
    <xf numFmtId="0" fontId="14" fillId="20" borderId="10" xfId="0" applyFont="1" applyFill="1" applyBorder="1" applyAlignment="1"/>
    <xf numFmtId="0" fontId="14" fillId="8" borderId="13" xfId="0" applyFont="1" applyFill="1" applyBorder="1" applyAlignment="1"/>
    <xf numFmtId="0" fontId="14" fillId="12" borderId="12" xfId="0" applyFont="1" applyFill="1" applyBorder="1" applyAlignment="1"/>
    <xf numFmtId="0" fontId="14" fillId="21" borderId="12" xfId="0" applyFont="1" applyFill="1" applyBorder="1" applyAlignment="1"/>
    <xf numFmtId="0" fontId="14" fillId="11" borderId="10" xfId="0" applyFont="1" applyFill="1" applyBorder="1" applyAlignment="1"/>
    <xf numFmtId="0" fontId="14" fillId="25" borderId="24" xfId="0" applyFont="1" applyFill="1" applyBorder="1" applyAlignment="1"/>
    <xf numFmtId="0" fontId="14" fillId="25" borderId="12" xfId="0" applyFont="1" applyFill="1" applyBorder="1" applyAlignment="1"/>
    <xf numFmtId="0" fontId="14" fillId="25" borderId="23" xfId="0" applyFont="1" applyFill="1" applyBorder="1" applyAlignment="1"/>
    <xf numFmtId="0" fontId="14" fillId="26" borderId="25" xfId="0" applyFont="1" applyFill="1" applyBorder="1" applyAlignment="1"/>
    <xf numFmtId="0" fontId="14" fillId="27" borderId="24" xfId="0" applyFont="1" applyFill="1" applyBorder="1" applyAlignment="1"/>
    <xf numFmtId="0" fontId="14" fillId="19" borderId="12" xfId="0" applyFont="1" applyFill="1" applyBorder="1" applyAlignment="1"/>
    <xf numFmtId="0" fontId="14" fillId="14" borderId="12" xfId="0" applyFont="1" applyFill="1" applyBorder="1" applyAlignment="1"/>
    <xf numFmtId="0" fontId="14" fillId="28" borderId="12" xfId="0" applyFont="1" applyFill="1" applyBorder="1" applyAlignment="1"/>
    <xf numFmtId="0" fontId="14" fillId="29" borderId="12" xfId="0" applyFont="1" applyFill="1" applyBorder="1" applyAlignment="1"/>
    <xf numFmtId="0" fontId="14" fillId="14" borderId="10" xfId="0" applyFont="1" applyFill="1" applyBorder="1" applyAlignment="1"/>
    <xf numFmtId="0" fontId="14" fillId="20" borderId="24" xfId="0" applyFont="1" applyFill="1" applyBorder="1" applyAlignment="1"/>
    <xf numFmtId="0" fontId="14" fillId="20" borderId="12" xfId="0" applyFont="1" applyFill="1" applyBorder="1" applyAlignment="1"/>
    <xf numFmtId="0" fontId="14" fillId="31" borderId="12" xfId="0" applyFont="1" applyFill="1" applyBorder="1" applyAlignment="1"/>
    <xf numFmtId="0" fontId="14" fillId="31" borderId="12" xfId="0" applyFont="1" applyFill="1" applyBorder="1" applyAlignment="1">
      <alignment horizontal="left"/>
    </xf>
    <xf numFmtId="0" fontId="14" fillId="32" borderId="12" xfId="0" applyFont="1" applyFill="1" applyBorder="1" applyAlignment="1"/>
    <xf numFmtId="0" fontId="15" fillId="0" borderId="10" xfId="0" applyFont="1" applyFill="1" applyBorder="1" applyAlignment="1">
      <alignment horizontal="center" vertical="center"/>
    </xf>
    <xf numFmtId="0" fontId="16" fillId="18" borderId="26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176" fontId="15" fillId="10" borderId="27" xfId="0" applyNumberFormat="1" applyFont="1" applyFill="1" applyBorder="1" applyAlignment="1">
      <alignment horizontal="center" vertical="center"/>
    </xf>
    <xf numFmtId="176" fontId="15" fillId="19" borderId="27" xfId="0" applyNumberFormat="1" applyFont="1" applyFill="1" applyBorder="1" applyAlignment="1">
      <alignment horizontal="center" vertical="center"/>
    </xf>
    <xf numFmtId="176" fontId="15" fillId="20" borderId="28" xfId="0" applyNumberFormat="1" applyFont="1" applyFill="1" applyBorder="1" applyAlignment="1">
      <alignment horizontal="center" vertical="center"/>
    </xf>
    <xf numFmtId="176" fontId="15" fillId="8" borderId="26" xfId="0" applyNumberFormat="1" applyFont="1" applyFill="1" applyBorder="1" applyAlignment="1">
      <alignment horizontal="center" vertical="center"/>
    </xf>
    <xf numFmtId="176" fontId="15" fillId="12" borderId="27" xfId="0" applyNumberFormat="1" applyFont="1" applyFill="1" applyBorder="1" applyAlignment="1">
      <alignment horizontal="center" vertical="center"/>
    </xf>
    <xf numFmtId="176" fontId="15" fillId="21" borderId="27" xfId="0" applyNumberFormat="1" applyFont="1" applyFill="1" applyBorder="1" applyAlignment="1">
      <alignment horizontal="center" vertical="center"/>
    </xf>
    <xf numFmtId="176" fontId="15" fillId="11" borderId="28" xfId="0" applyNumberFormat="1" applyFont="1" applyFill="1" applyBorder="1" applyAlignment="1">
      <alignment horizontal="center" vertical="center"/>
    </xf>
    <xf numFmtId="176" fontId="15" fillId="19" borderId="26" xfId="0" applyNumberFormat="1" applyFont="1" applyFill="1" applyBorder="1" applyAlignment="1">
      <alignment horizontal="center" vertical="center"/>
    </xf>
    <xf numFmtId="176" fontId="15" fillId="22" borderId="27" xfId="0" applyNumberFormat="1" applyFont="1" applyFill="1" applyBorder="1" applyAlignment="1">
      <alignment horizontal="center" vertical="center"/>
    </xf>
    <xf numFmtId="176" fontId="15" fillId="23" borderId="27" xfId="0" applyNumberFormat="1" applyFont="1" applyFill="1" applyBorder="1" applyAlignment="1">
      <alignment horizontal="center" vertical="center"/>
    </xf>
    <xf numFmtId="176" fontId="15" fillId="24" borderId="27" xfId="0" applyNumberFormat="1" applyFont="1" applyFill="1" applyBorder="1" applyAlignment="1">
      <alignment horizontal="center" vertical="center"/>
    </xf>
    <xf numFmtId="176" fontId="15" fillId="19" borderId="29" xfId="0" applyNumberFormat="1" applyFont="1" applyFill="1" applyBorder="1" applyAlignment="1">
      <alignment horizontal="center" vertical="center"/>
    </xf>
    <xf numFmtId="0" fontId="16" fillId="25" borderId="30" xfId="0" applyFont="1" applyFill="1" applyBorder="1" applyAlignment="1">
      <alignment horizontal="center"/>
    </xf>
    <xf numFmtId="0" fontId="16" fillId="25" borderId="27" xfId="0" applyFont="1" applyFill="1" applyBorder="1" applyAlignment="1">
      <alignment horizontal="center"/>
    </xf>
    <xf numFmtId="0" fontId="16" fillId="25" borderId="29" xfId="0" applyFont="1" applyFill="1" applyBorder="1" applyAlignment="1">
      <alignment horizontal="center"/>
    </xf>
    <xf numFmtId="0" fontId="16" fillId="26" borderId="31" xfId="0" applyFont="1" applyFill="1" applyBorder="1" applyAlignment="1">
      <alignment horizontal="center"/>
    </xf>
    <xf numFmtId="176" fontId="15" fillId="27" borderId="24" xfId="0" applyNumberFormat="1" applyFont="1" applyFill="1" applyBorder="1" applyAlignment="1">
      <alignment horizontal="center" vertical="center"/>
    </xf>
    <xf numFmtId="176" fontId="15" fillId="19" borderId="12" xfId="0" applyNumberFormat="1" applyFont="1" applyFill="1" applyBorder="1" applyAlignment="1">
      <alignment horizontal="center" vertical="center"/>
    </xf>
    <xf numFmtId="177" fontId="16" fillId="19" borderId="12" xfId="0" applyNumberFormat="1" applyFont="1" applyFill="1" applyBorder="1" applyAlignment="1">
      <alignment horizontal="center"/>
    </xf>
    <xf numFmtId="0" fontId="16" fillId="19" borderId="12" xfId="0" applyFont="1" applyFill="1" applyBorder="1" applyAlignment="1">
      <alignment horizontal="center"/>
    </xf>
    <xf numFmtId="176" fontId="15" fillId="14" borderId="12" xfId="0" applyNumberFormat="1" applyFont="1" applyFill="1" applyBorder="1" applyAlignment="1">
      <alignment horizontal="center" vertical="center"/>
    </xf>
    <xf numFmtId="176" fontId="15" fillId="28" borderId="12" xfId="0" applyNumberFormat="1" applyFont="1" applyFill="1" applyBorder="1" applyAlignment="1">
      <alignment horizontal="center" vertical="center"/>
    </xf>
    <xf numFmtId="0" fontId="16" fillId="28" borderId="12" xfId="0" applyFont="1" applyFill="1" applyBorder="1" applyAlignment="1">
      <alignment horizontal="center"/>
    </xf>
    <xf numFmtId="177" fontId="16" fillId="28" borderId="12" xfId="0" applyNumberFormat="1" applyFont="1" applyFill="1" applyBorder="1" applyAlignment="1">
      <alignment horizontal="center"/>
    </xf>
    <xf numFmtId="176" fontId="15" fillId="25" borderId="12" xfId="0" applyNumberFormat="1" applyFont="1" applyFill="1" applyBorder="1" applyAlignment="1">
      <alignment horizontal="center" vertical="center"/>
    </xf>
    <xf numFmtId="0" fontId="16" fillId="25" borderId="12" xfId="0" applyFont="1" applyFill="1" applyBorder="1" applyAlignment="1">
      <alignment horizontal="center"/>
    </xf>
    <xf numFmtId="176" fontId="15" fillId="29" borderId="12" xfId="0" applyNumberFormat="1" applyFont="1" applyFill="1" applyBorder="1" applyAlignment="1">
      <alignment horizontal="center" vertical="center"/>
    </xf>
    <xf numFmtId="0" fontId="16" fillId="29" borderId="12" xfId="0" applyFont="1" applyFill="1" applyBorder="1" applyAlignment="1">
      <alignment horizontal="center"/>
    </xf>
    <xf numFmtId="176" fontId="8" fillId="33" borderId="12" xfId="0" applyNumberFormat="1" applyFont="1" applyFill="1" applyBorder="1" applyAlignment="1">
      <alignment vertical="center"/>
    </xf>
    <xf numFmtId="0" fontId="16" fillId="20" borderId="24" xfId="0" applyFont="1" applyFill="1" applyBorder="1" applyAlignment="1">
      <alignment horizontal="center"/>
    </xf>
    <xf numFmtId="0" fontId="16" fillId="20" borderId="12" xfId="0" applyFont="1" applyFill="1" applyBorder="1" applyAlignment="1">
      <alignment horizontal="center"/>
    </xf>
    <xf numFmtId="0" fontId="16" fillId="31" borderId="12" xfId="0" applyFont="1" applyFill="1" applyBorder="1" applyAlignment="1">
      <alignment horizontal="center"/>
    </xf>
    <xf numFmtId="0" fontId="16" fillId="32" borderId="12" xfId="0" applyFont="1" applyFill="1" applyBorder="1" applyAlignment="1">
      <alignment horizontal="center"/>
    </xf>
    <xf numFmtId="0" fontId="17" fillId="0" borderId="32" xfId="0" applyFont="1" applyFill="1" applyBorder="1" applyAlignment="1">
      <alignment horizontal="center" vertical="center"/>
    </xf>
    <xf numFmtId="43" fontId="18" fillId="9" borderId="32" xfId="0" applyNumberFormat="1" applyFont="1" applyFill="1" applyBorder="1" applyAlignment="1"/>
    <xf numFmtId="43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010;&#20154;&#31649;&#29702;\&#20010;&#20154;&#36134;&#21333;\&#20010;&#20154;&#36134;&#21153;-202607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时间管理"/>
      <sheetName val="预算-样式"/>
      <sheetName val="方案比对"/>
      <sheetName val="比对数据"/>
      <sheetName val="预算-年0"/>
      <sheetName val="预算-年A"/>
      <sheetName val="预算-年B"/>
      <sheetName val="预算-年C"/>
      <sheetName val="预算-年D"/>
      <sheetName val="预算-年5"/>
      <sheetName val="年复"/>
      <sheetName val="副细"/>
      <sheetName val="副业"/>
      <sheetName val="副投"/>
      <sheetName val="AI"/>
      <sheetName val="副财"/>
      <sheetName val="预算-月0"/>
      <sheetName val="实执-1"/>
      <sheetName val="反馈-3"/>
      <sheetName val="实预-4"/>
      <sheetName val="月目标"/>
      <sheetName val="计划0"/>
      <sheetName val="录入"/>
      <sheetName val="汇总"/>
      <sheetName val="明细"/>
      <sheetName val="弥勒"/>
      <sheetName val="2024"/>
      <sheetName val="2025"/>
      <sheetName val="2026"/>
      <sheetName val="新的开始"/>
      <sheetName val="小资"/>
      <sheetName val="恋销"/>
      <sheetName val="恋爱"/>
      <sheetName val="净资产动图"/>
      <sheetName val="经验"/>
      <sheetName val="网贷平台"/>
      <sheetName val="负债明细"/>
      <sheetName val="招行"/>
      <sheetName val="话费"/>
      <sheetName val="Sheet1"/>
      <sheetName val="合住"/>
      <sheetName val="财务管理"/>
      <sheetName val="投资2017"/>
      <sheetName val="社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3">
          <cell r="B33">
            <v>24204.29</v>
          </cell>
        </row>
        <row r="33">
          <cell r="K33">
            <v>44000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3000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100</v>
          </cell>
          <cell r="V33">
            <v>0</v>
          </cell>
          <cell r="W33">
            <v>0</v>
          </cell>
          <cell r="X33">
            <v>10000</v>
          </cell>
          <cell r="Y33">
            <v>0</v>
          </cell>
          <cell r="Z33">
            <v>2000</v>
          </cell>
          <cell r="AA33">
            <v>0</v>
          </cell>
          <cell r="AB33">
            <v>2297</v>
          </cell>
          <cell r="AC33">
            <v>0</v>
          </cell>
        </row>
        <row r="33">
          <cell r="AE33">
            <v>0</v>
          </cell>
        </row>
        <row r="33">
          <cell r="AL33">
            <v>140</v>
          </cell>
          <cell r="AM33">
            <v>430</v>
          </cell>
          <cell r="AN33">
            <v>0</v>
          </cell>
          <cell r="AO33">
            <v>9</v>
          </cell>
          <cell r="AP33">
            <v>266.91</v>
          </cell>
          <cell r="AQ33">
            <v>0</v>
          </cell>
          <cell r="AR33">
            <v>27</v>
          </cell>
          <cell r="AS33">
            <v>190</v>
          </cell>
        </row>
        <row r="33">
          <cell r="AU33">
            <v>-37.84</v>
          </cell>
          <cell r="AV33">
            <v>2627.33</v>
          </cell>
          <cell r="AW33">
            <v>0</v>
          </cell>
        </row>
        <row r="33">
          <cell r="AY33">
            <v>33</v>
          </cell>
          <cell r="AZ33">
            <v>106.9</v>
          </cell>
          <cell r="BA33">
            <v>72.4</v>
          </cell>
        </row>
        <row r="33">
          <cell r="BC33">
            <v>0</v>
          </cell>
          <cell r="BD33">
            <v>0</v>
          </cell>
          <cell r="BE33">
            <v>0</v>
          </cell>
        </row>
        <row r="33"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K34">
            <v>22000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23</v>
          </cell>
          <cell r="V34">
            <v>0</v>
          </cell>
          <cell r="W34">
            <v>0</v>
          </cell>
          <cell r="X34">
            <v>930</v>
          </cell>
          <cell r="Y34">
            <v>0</v>
          </cell>
          <cell r="Z34">
            <v>9200</v>
          </cell>
          <cell r="AA34">
            <v>1654.83</v>
          </cell>
          <cell r="AB34">
            <v>-398</v>
          </cell>
          <cell r="AC34">
            <v>0</v>
          </cell>
        </row>
        <row r="34">
          <cell r="AE34">
            <v>0</v>
          </cell>
        </row>
        <row r="34">
          <cell r="AL34">
            <v>117</v>
          </cell>
          <cell r="AM34">
            <v>300</v>
          </cell>
          <cell r="AN34">
            <v>0</v>
          </cell>
          <cell r="AO34">
            <v>0</v>
          </cell>
          <cell r="AP34">
            <v>1247.65</v>
          </cell>
          <cell r="AQ34">
            <v>0</v>
          </cell>
          <cell r="AR34">
            <v>649.49</v>
          </cell>
          <cell r="AS34">
            <v>349</v>
          </cell>
        </row>
        <row r="34">
          <cell r="AU34">
            <v>188</v>
          </cell>
          <cell r="AV34">
            <v>23.1</v>
          </cell>
          <cell r="AW34">
            <v>0</v>
          </cell>
        </row>
        <row r="34">
          <cell r="AY34">
            <v>29</v>
          </cell>
          <cell r="AZ34">
            <v>0</v>
          </cell>
          <cell r="BA34">
            <v>0</v>
          </cell>
        </row>
        <row r="34">
          <cell r="BC34">
            <v>0</v>
          </cell>
          <cell r="BD34">
            <v>0</v>
          </cell>
          <cell r="BE34">
            <v>0</v>
          </cell>
        </row>
        <row r="34"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</row>
        <row r="35">
          <cell r="K35">
            <v>22000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30000</v>
          </cell>
          <cell r="Y35">
            <v>0</v>
          </cell>
          <cell r="Z35">
            <v>0</v>
          </cell>
          <cell r="AA35">
            <v>-60.2</v>
          </cell>
          <cell r="AB35">
            <v>708</v>
          </cell>
          <cell r="AC35">
            <v>0</v>
          </cell>
        </row>
        <row r="35">
          <cell r="AE35">
            <v>0</v>
          </cell>
        </row>
        <row r="35">
          <cell r="AL35">
            <v>216</v>
          </cell>
          <cell r="AM35">
            <v>150</v>
          </cell>
          <cell r="AN35">
            <v>0</v>
          </cell>
          <cell r="AO35">
            <v>0</v>
          </cell>
          <cell r="AP35">
            <v>963.08</v>
          </cell>
          <cell r="AQ35">
            <v>0</v>
          </cell>
          <cell r="AR35">
            <v>106.6</v>
          </cell>
          <cell r="AS35">
            <v>149</v>
          </cell>
        </row>
        <row r="35">
          <cell r="AU35">
            <v>599</v>
          </cell>
          <cell r="AV35">
            <v>1535.29</v>
          </cell>
          <cell r="AW35">
            <v>0</v>
          </cell>
        </row>
        <row r="35">
          <cell r="AY35">
            <v>29</v>
          </cell>
          <cell r="AZ35">
            <v>0</v>
          </cell>
          <cell r="BA35">
            <v>736.8</v>
          </cell>
        </row>
        <row r="35">
          <cell r="BC35">
            <v>0</v>
          </cell>
          <cell r="BD35">
            <v>0</v>
          </cell>
          <cell r="BE35">
            <v>0</v>
          </cell>
        </row>
        <row r="35">
          <cell r="BG35">
            <v>1256.76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1256.76</v>
          </cell>
        </row>
        <row r="36">
          <cell r="K36">
            <v>22000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6">
          <cell r="AE36">
            <v>0</v>
          </cell>
        </row>
        <row r="36">
          <cell r="AL36">
            <v>432.2</v>
          </cell>
          <cell r="AM36">
            <v>20</v>
          </cell>
          <cell r="AN36">
            <v>0</v>
          </cell>
          <cell r="AO36">
            <v>0</v>
          </cell>
          <cell r="AP36">
            <v>1678.32</v>
          </cell>
          <cell r="AQ36">
            <v>243</v>
          </cell>
          <cell r="AR36">
            <v>742.9</v>
          </cell>
          <cell r="AS36">
            <v>290</v>
          </cell>
        </row>
        <row r="36">
          <cell r="AU36">
            <v>511.6</v>
          </cell>
          <cell r="AV36">
            <v>1640.6</v>
          </cell>
          <cell r="AW36">
            <v>0</v>
          </cell>
        </row>
        <row r="36">
          <cell r="AY36">
            <v>21</v>
          </cell>
          <cell r="AZ36">
            <v>0</v>
          </cell>
          <cell r="BA36">
            <v>339</v>
          </cell>
        </row>
        <row r="36">
          <cell r="BC36">
            <v>0</v>
          </cell>
          <cell r="BD36">
            <v>0</v>
          </cell>
          <cell r="BE36">
            <v>0</v>
          </cell>
        </row>
        <row r="36"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</row>
        <row r="37">
          <cell r="K37">
            <v>0</v>
          </cell>
          <cell r="L37">
            <v>21511</v>
          </cell>
          <cell r="M37">
            <v>0</v>
          </cell>
          <cell r="N37">
            <v>0</v>
          </cell>
          <cell r="O37">
            <v>0</v>
          </cell>
          <cell r="P37">
            <v>5000</v>
          </cell>
          <cell r="Q37">
            <v>0</v>
          </cell>
          <cell r="R37">
            <v>0</v>
          </cell>
          <cell r="S37">
            <v>5163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1048.85</v>
          </cell>
          <cell r="Z37">
            <v>10000</v>
          </cell>
          <cell r="AA37">
            <v>0</v>
          </cell>
          <cell r="AB37">
            <v>109.8</v>
          </cell>
          <cell r="AC37">
            <v>128</v>
          </cell>
        </row>
        <row r="37">
          <cell r="AE37">
            <v>0</v>
          </cell>
        </row>
        <row r="37">
          <cell r="AL37">
            <v>1114.29</v>
          </cell>
          <cell r="AM37">
            <v>2800</v>
          </cell>
          <cell r="AN37">
            <v>0</v>
          </cell>
          <cell r="AO37">
            <v>0</v>
          </cell>
          <cell r="AP37">
            <v>185.27</v>
          </cell>
          <cell r="AQ37">
            <v>71.8</v>
          </cell>
          <cell r="AR37">
            <v>387.68</v>
          </cell>
          <cell r="AS37">
            <v>200</v>
          </cell>
        </row>
        <row r="37">
          <cell r="AU37">
            <v>95</v>
          </cell>
          <cell r="AV37">
            <v>854.61</v>
          </cell>
          <cell r="AW37">
            <v>0</v>
          </cell>
        </row>
        <row r="37">
          <cell r="AY37">
            <v>29</v>
          </cell>
          <cell r="AZ37">
            <v>0</v>
          </cell>
          <cell r="BA37">
            <v>0</v>
          </cell>
        </row>
        <row r="37">
          <cell r="BC37">
            <v>252.74</v>
          </cell>
          <cell r="BD37">
            <v>0</v>
          </cell>
          <cell r="BE37">
            <v>0</v>
          </cell>
        </row>
        <row r="37">
          <cell r="BG37">
            <v>379.38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379.38</v>
          </cell>
        </row>
        <row r="38">
          <cell r="K38">
            <v>0</v>
          </cell>
          <cell r="L38">
            <v>122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802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300</v>
          </cell>
          <cell r="Y38">
            <v>777.46</v>
          </cell>
          <cell r="Z38">
            <v>2000</v>
          </cell>
          <cell r="AA38">
            <v>0</v>
          </cell>
          <cell r="AB38">
            <v>0</v>
          </cell>
          <cell r="AC38">
            <v>0</v>
          </cell>
        </row>
        <row r="38">
          <cell r="AE38">
            <v>0</v>
          </cell>
        </row>
        <row r="38">
          <cell r="AL38">
            <v>959.21</v>
          </cell>
          <cell r="AM38">
            <v>1320</v>
          </cell>
          <cell r="AN38">
            <v>0</v>
          </cell>
          <cell r="AO38">
            <v>0</v>
          </cell>
          <cell r="AP38">
            <v>592.15</v>
          </cell>
          <cell r="AQ38">
            <v>0</v>
          </cell>
          <cell r="AR38">
            <v>106.6</v>
          </cell>
          <cell r="AS38">
            <v>190</v>
          </cell>
        </row>
        <row r="38">
          <cell r="AU38">
            <v>552.8</v>
          </cell>
          <cell r="AV38">
            <v>1137.1</v>
          </cell>
          <cell r="AW38">
            <v>0</v>
          </cell>
        </row>
        <row r="38">
          <cell r="AY38">
            <v>332.69</v>
          </cell>
          <cell r="AZ38">
            <v>0</v>
          </cell>
          <cell r="BA38">
            <v>784.59</v>
          </cell>
        </row>
        <row r="38">
          <cell r="BC38">
            <v>-252.74</v>
          </cell>
          <cell r="BD38">
            <v>0</v>
          </cell>
          <cell r="BE38">
            <v>0</v>
          </cell>
        </row>
        <row r="38"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</row>
        <row r="39"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39">
          <cell r="AE39">
            <v>0</v>
          </cell>
        </row>
        <row r="39"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2.05000000000018</v>
          </cell>
          <cell r="AQ39">
            <v>0</v>
          </cell>
          <cell r="AR39">
            <v>0</v>
          </cell>
          <cell r="AS39">
            <v>0</v>
          </cell>
        </row>
        <row r="39">
          <cell r="AU39">
            <v>0</v>
          </cell>
          <cell r="AV39">
            <v>0</v>
          </cell>
          <cell r="AW39">
            <v>0</v>
          </cell>
        </row>
        <row r="39">
          <cell r="AY39">
            <v>0</v>
          </cell>
          <cell r="AZ39">
            <v>0</v>
          </cell>
          <cell r="BA39">
            <v>0</v>
          </cell>
        </row>
        <row r="39">
          <cell r="BC39">
            <v>0</v>
          </cell>
          <cell r="BD39">
            <v>0</v>
          </cell>
          <cell r="BE39">
            <v>0</v>
          </cell>
        </row>
        <row r="39"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6"/>
  <sheetViews>
    <sheetView tabSelected="1" workbookViewId="0">
      <selection activeCell="W9" sqref="W9"/>
    </sheetView>
  </sheetViews>
  <sheetFormatPr defaultColWidth="8.88888888888889" defaultRowHeight="14.4"/>
  <cols>
    <col min="1" max="1" width="8.66666666666667" style="3" customWidth="1"/>
    <col min="2" max="2" width="8.33333333333333" style="3" customWidth="1"/>
    <col min="3" max="3" width="6.44444444444444" style="3" customWidth="1"/>
    <col min="4" max="4" width="8.77777777777778" style="3" customWidth="1"/>
    <col min="5" max="5" width="9.55555555555556" style="3" customWidth="1"/>
    <col min="6" max="6" width="8.77777777777778" style="3" customWidth="1"/>
    <col min="7" max="7" width="8.33333333333333" style="3" customWidth="1"/>
    <col min="8" max="8" width="8.77777777777778" style="3" customWidth="1"/>
    <col min="9" max="10" width="8.33333333333333" style="3" customWidth="1"/>
    <col min="11" max="11" width="9.27777777777778" style="3" customWidth="1"/>
    <col min="12" max="20" width="7.66666666666667" style="3" customWidth="1"/>
    <col min="21" max="21" width="8.33333333333333" style="3" customWidth="1"/>
    <col min="22" max="23" width="8.77777777777778" style="3" customWidth="1"/>
    <col min="24" max="24" width="5.22222222222222" style="3" customWidth="1"/>
    <col min="25" max="25" width="8.77777777777778" style="3" customWidth="1"/>
    <col min="26" max="26" width="8.33333333333333" style="3" customWidth="1"/>
    <col min="27" max="27" width="8.88888888888889" style="3" customWidth="1"/>
    <col min="28" max="30" width="7.44444444444444" style="3" customWidth="1"/>
    <col min="31" max="31" width="7.66666666666667" style="3" customWidth="1"/>
    <col min="32" max="32" width="4.55555555555556" style="3" customWidth="1"/>
    <col min="33" max="33" width="7.77777777777778" style="3" customWidth="1"/>
    <col min="34" max="34" width="7.66666666666667" style="3" customWidth="1"/>
    <col min="35" max="35" width="4.55555555555556" style="3" customWidth="1"/>
    <col min="36" max="36" width="7.77777777777778" style="3" customWidth="1"/>
    <col min="37" max="37" width="6.11111111111111" style="3" customWidth="1"/>
    <col min="38" max="39" width="8.33333333333333" style="3" customWidth="1"/>
    <col min="40" max="40" width="8.88888888888889" style="3" customWidth="1"/>
    <col min="41" max="41" width="8.33333333333333" style="3" customWidth="1"/>
    <col min="42" max="42" width="7.77777777777778" style="3" customWidth="1"/>
    <col min="43" max="43" width="4.55555555555556" style="3" customWidth="1"/>
    <col min="44" max="44" width="7.77777777777778" style="3" customWidth="1"/>
    <col min="45" max="45" width="8.33333333333333" style="3" customWidth="1"/>
    <col min="46" max="46" width="7.22222222222222" style="3" customWidth="1"/>
    <col min="47" max="52" width="6.11111111111111" style="3" customWidth="1"/>
    <col min="53" max="59" width="8.88888888888889" style="3"/>
    <col min="60" max="60" width="5.11111111111111" style="3" customWidth="1"/>
    <col min="61" max="61" width="8.44444444444444" style="3" customWidth="1"/>
    <col min="62" max="62" width="5.44444444444444" style="3" customWidth="1"/>
    <col min="63" max="63" width="7.66666666666667" style="5" customWidth="1"/>
    <col min="64" max="65" width="7.44444444444444" style="3" customWidth="1"/>
    <col min="66" max="66" width="6" style="3" customWidth="1"/>
    <col min="67" max="67" width="7.44444444444444" style="3" customWidth="1"/>
    <col min="68" max="16384" width="8.88888888888889" style="3"/>
  </cols>
  <sheetData>
    <row r="1" s="1" customFormat="1" ht="15.6" spans="1:67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2" t="s">
        <v>6</v>
      </c>
      <c r="H1" s="13" t="s">
        <v>7</v>
      </c>
      <c r="I1" s="14" t="s">
        <v>8</v>
      </c>
      <c r="J1" s="15" t="s">
        <v>9</v>
      </c>
      <c r="K1" s="16" t="s">
        <v>10</v>
      </c>
      <c r="L1" s="17"/>
      <c r="M1" s="17"/>
      <c r="N1" s="17"/>
      <c r="O1" s="17"/>
      <c r="P1" s="17"/>
      <c r="Q1" s="17"/>
      <c r="R1" s="17"/>
      <c r="S1" s="17"/>
      <c r="T1" s="17"/>
      <c r="U1" s="18"/>
      <c r="V1" s="19" t="s">
        <v>11</v>
      </c>
      <c r="W1" s="19"/>
      <c r="X1" s="20"/>
      <c r="Y1" s="21" t="s">
        <v>12</v>
      </c>
      <c r="Z1" s="22" t="s">
        <v>13</v>
      </c>
      <c r="AA1" s="23" t="s">
        <v>14</v>
      </c>
      <c r="AB1" s="24"/>
      <c r="AC1" s="24"/>
      <c r="AD1" s="24"/>
      <c r="AE1" s="24"/>
      <c r="AF1" s="25" t="s">
        <v>15</v>
      </c>
      <c r="AG1" s="26" t="s">
        <v>16</v>
      </c>
      <c r="AH1" s="26"/>
      <c r="AI1" s="26"/>
      <c r="AJ1" s="26"/>
      <c r="AK1" s="26"/>
      <c r="AL1" s="26"/>
      <c r="AM1" s="26"/>
      <c r="AN1" s="26"/>
      <c r="AO1" s="27" t="s">
        <v>17</v>
      </c>
      <c r="AP1" s="27"/>
      <c r="AQ1" s="27"/>
      <c r="AR1" s="27"/>
      <c r="AS1" s="28" t="s">
        <v>18</v>
      </c>
      <c r="AT1" s="28"/>
      <c r="AU1" s="28"/>
      <c r="AV1" s="29"/>
      <c r="AW1" s="30" t="s">
        <v>19</v>
      </c>
      <c r="AX1" s="31"/>
      <c r="AY1" s="31"/>
      <c r="AZ1" s="31"/>
      <c r="BA1" s="32" t="s">
        <v>20</v>
      </c>
      <c r="BB1" s="32"/>
      <c r="BC1" s="32"/>
      <c r="BD1" s="32"/>
      <c r="BE1" s="32"/>
      <c r="BF1" s="32"/>
      <c r="BG1" s="32"/>
      <c r="BH1" s="33" t="s">
        <v>21</v>
      </c>
      <c r="BI1" s="33"/>
      <c r="BJ1" s="34" t="s">
        <v>22</v>
      </c>
      <c r="BK1" s="35"/>
      <c r="BL1" s="34"/>
      <c r="BM1" s="34"/>
      <c r="BN1" s="36" t="s">
        <v>23</v>
      </c>
      <c r="BO1" s="37"/>
    </row>
    <row r="2" s="1" customFormat="1" ht="43.95" customHeight="1" spans="1:67">
      <c r="A2" s="6"/>
      <c r="B2" s="38"/>
      <c r="C2" s="39"/>
      <c r="D2" s="40"/>
      <c r="E2" s="41"/>
      <c r="F2" s="33"/>
      <c r="G2" s="42"/>
      <c r="H2" s="43"/>
      <c r="I2" s="44"/>
      <c r="J2" s="45"/>
      <c r="K2" s="46" t="s">
        <v>24</v>
      </c>
      <c r="L2" s="47" t="s">
        <v>12</v>
      </c>
      <c r="M2" s="48" t="s">
        <v>13</v>
      </c>
      <c r="N2" s="48" t="s">
        <v>14</v>
      </c>
      <c r="O2" s="48" t="s">
        <v>15</v>
      </c>
      <c r="P2" s="49" t="s">
        <v>25</v>
      </c>
      <c r="Q2" s="49" t="s">
        <v>26</v>
      </c>
      <c r="R2" s="49" t="s">
        <v>27</v>
      </c>
      <c r="S2" s="49" t="s">
        <v>28</v>
      </c>
      <c r="T2" s="49" t="s">
        <v>20</v>
      </c>
      <c r="U2" s="50" t="s">
        <v>29</v>
      </c>
      <c r="V2" s="51" t="s">
        <v>30</v>
      </c>
      <c r="W2" s="52" t="s">
        <v>31</v>
      </c>
      <c r="X2" s="53" t="s">
        <v>32</v>
      </c>
      <c r="Y2" s="54"/>
      <c r="Z2" s="22"/>
      <c r="AA2" s="55" t="s">
        <v>33</v>
      </c>
      <c r="AB2" s="55" t="s">
        <v>34</v>
      </c>
      <c r="AC2" s="55" t="s">
        <v>35</v>
      </c>
      <c r="AD2" s="55" t="s">
        <v>36</v>
      </c>
      <c r="AE2" s="56" t="s">
        <v>37</v>
      </c>
      <c r="AF2" s="25"/>
      <c r="AG2" s="57" t="s">
        <v>38</v>
      </c>
      <c r="AH2" s="58" t="s">
        <v>39</v>
      </c>
      <c r="AI2" s="58" t="s">
        <v>40</v>
      </c>
      <c r="AJ2" s="58" t="s">
        <v>41</v>
      </c>
      <c r="AK2" s="58" t="s">
        <v>42</v>
      </c>
      <c r="AL2" s="58" t="s">
        <v>43</v>
      </c>
      <c r="AM2" s="58" t="s">
        <v>44</v>
      </c>
      <c r="AN2" s="59" t="s">
        <v>37</v>
      </c>
      <c r="AO2" s="60" t="s">
        <v>45</v>
      </c>
      <c r="AP2" s="60" t="s">
        <v>46</v>
      </c>
      <c r="AQ2" s="60" t="s">
        <v>47</v>
      </c>
      <c r="AR2" s="59" t="s">
        <v>37</v>
      </c>
      <c r="AS2" s="61" t="s">
        <v>48</v>
      </c>
      <c r="AT2" s="61" t="s">
        <v>49</v>
      </c>
      <c r="AU2" s="61" t="s">
        <v>50</v>
      </c>
      <c r="AV2" s="56" t="s">
        <v>37</v>
      </c>
      <c r="AW2" s="62" t="s">
        <v>51</v>
      </c>
      <c r="AX2" s="62" t="s">
        <v>52</v>
      </c>
      <c r="AY2" s="62" t="s">
        <v>53</v>
      </c>
      <c r="AZ2" s="56" t="s">
        <v>37</v>
      </c>
      <c r="BA2" s="63" t="s">
        <v>54</v>
      </c>
      <c r="BB2" s="63" t="s">
        <v>55</v>
      </c>
      <c r="BC2" s="64" t="s">
        <v>56</v>
      </c>
      <c r="BD2" s="63" t="s">
        <v>57</v>
      </c>
      <c r="BE2" s="63" t="s">
        <v>58</v>
      </c>
      <c r="BF2" s="63" t="s">
        <v>59</v>
      </c>
      <c r="BG2" s="56" t="s">
        <v>37</v>
      </c>
      <c r="BH2" s="65" t="s">
        <v>60</v>
      </c>
      <c r="BI2" s="66" t="s">
        <v>61</v>
      </c>
      <c r="BJ2" s="67" t="s">
        <v>62</v>
      </c>
      <c r="BK2" s="68" t="s">
        <v>63</v>
      </c>
      <c r="BL2" s="69" t="s">
        <v>64</v>
      </c>
      <c r="BM2" s="69" t="s">
        <v>65</v>
      </c>
      <c r="BN2" s="70" t="s">
        <v>66</v>
      </c>
      <c r="BO2" s="71" t="s">
        <v>67</v>
      </c>
    </row>
    <row r="3" s="2" customFormat="1" ht="15.6" spans="1:67">
      <c r="A3" s="72">
        <v>202601</v>
      </c>
      <c r="B3" s="73">
        <f>C3+D3</f>
        <v>24361.43</v>
      </c>
      <c r="C3" s="74">
        <v>157.139999999999</v>
      </c>
      <c r="D3" s="75">
        <f>[1]汇总!B33</f>
        <v>24204.29</v>
      </c>
      <c r="E3" s="76">
        <f t="shared" ref="E3:E14" si="0">H3+I3+J3-K3</f>
        <v>28738.3</v>
      </c>
      <c r="F3" s="77">
        <f t="shared" ref="F3:F9" si="1">D3+E3</f>
        <v>52942.59</v>
      </c>
      <c r="G3" s="78">
        <f t="shared" ref="G3:G9" si="2">H3-K3</f>
        <v>25838.3</v>
      </c>
      <c r="H3" s="79">
        <f t="shared" ref="H3:H9" si="3">SUM(V3:X3)</f>
        <v>44000</v>
      </c>
      <c r="I3" s="80">
        <f t="shared" ref="I3:I9" si="4">SUM(BH3:BI3)</f>
        <v>3000</v>
      </c>
      <c r="J3" s="81">
        <f t="shared" ref="J3:J9" si="5">SUM(BN3:BO3)-SUM(BJ3:BM3)</f>
        <v>-100</v>
      </c>
      <c r="K3" s="82">
        <f t="shared" ref="K3:K15" si="6">SUM(Y3,Z3,AE3,AF3,AN3,AR3,AV3,BG3,AZ3)</f>
        <v>18161.7</v>
      </c>
      <c r="L3" s="83">
        <f t="shared" ref="L3:L14" si="7">Y3</f>
        <v>10000</v>
      </c>
      <c r="M3" s="84">
        <f t="shared" ref="M3:M14" si="8">Z3</f>
        <v>0</v>
      </c>
      <c r="N3" s="84">
        <f t="shared" ref="N3:N14" si="9">AE3</f>
        <v>4297</v>
      </c>
      <c r="O3" s="84">
        <f t="shared" ref="O3:O14" si="10">AF3</f>
        <v>0</v>
      </c>
      <c r="P3" s="85">
        <f t="shared" ref="P3:P14" si="11">AN3</f>
        <v>1062.91</v>
      </c>
      <c r="Q3" s="85">
        <f t="shared" ref="Q3:Q14" si="12">AR3</f>
        <v>2589.49</v>
      </c>
      <c r="R3" s="85">
        <f t="shared" ref="R3:R14" si="13">AV3</f>
        <v>212.3</v>
      </c>
      <c r="S3" s="85">
        <f t="shared" ref="S3:S14" si="14">AZ3</f>
        <v>0</v>
      </c>
      <c r="T3" s="85">
        <f t="shared" ref="T3:T14" si="15">BG3</f>
        <v>0</v>
      </c>
      <c r="U3" s="86">
        <f t="shared" ref="U3:U14" si="16">SUM(P3:T3)</f>
        <v>3864.7</v>
      </c>
      <c r="V3" s="87">
        <f>[1]汇总!K33</f>
        <v>44000</v>
      </c>
      <c r="W3" s="88">
        <f>[1]汇总!L33</f>
        <v>0</v>
      </c>
      <c r="X3" s="89">
        <f>[1]汇总!M33</f>
        <v>0</v>
      </c>
      <c r="Y3" s="90">
        <f>[1]汇总!X33</f>
        <v>10000</v>
      </c>
      <c r="Z3" s="91">
        <f>[1]汇总!Y33</f>
        <v>0</v>
      </c>
      <c r="AA3" s="76">
        <f>[1]汇总!Z33</f>
        <v>2000</v>
      </c>
      <c r="AB3" s="76">
        <f>[1]汇总!AA33</f>
        <v>0</v>
      </c>
      <c r="AC3" s="76">
        <f>[1]汇总!AB33</f>
        <v>2297</v>
      </c>
      <c r="AD3" s="76">
        <f>[1]汇总!AC33</f>
        <v>0</v>
      </c>
      <c r="AE3" s="92">
        <f t="shared" ref="AE3:AE9" si="17">SUM(AA3:AD3)</f>
        <v>4297</v>
      </c>
      <c r="AF3" s="76">
        <f>[1]汇总!AE33</f>
        <v>0</v>
      </c>
      <c r="AG3" s="93">
        <f>[1]汇总!AL33</f>
        <v>140</v>
      </c>
      <c r="AH3" s="93">
        <f>[1]汇总!AM33</f>
        <v>430</v>
      </c>
      <c r="AI3" s="93">
        <f>[1]汇总!AN33+[1]汇总!AO33</f>
        <v>9</v>
      </c>
      <c r="AJ3" s="93">
        <f>[1]汇总!AP33</f>
        <v>266.91</v>
      </c>
      <c r="AK3" s="93">
        <f>[1]汇总!AQ33</f>
        <v>0</v>
      </c>
      <c r="AL3" s="93">
        <f>[1]汇总!AR33</f>
        <v>27</v>
      </c>
      <c r="AM3" s="93">
        <f>[1]汇总!AS33</f>
        <v>190</v>
      </c>
      <c r="AN3" s="92">
        <f t="shared" ref="AN3:AN9" si="18">SUM(AG3:AM3)</f>
        <v>1062.91</v>
      </c>
      <c r="AO3" s="88">
        <f>[1]汇总!AU33</f>
        <v>-37.84</v>
      </c>
      <c r="AP3" s="88">
        <f>[1]汇总!AV33</f>
        <v>2627.33</v>
      </c>
      <c r="AQ3" s="88">
        <f>[1]汇总!AW33</f>
        <v>0</v>
      </c>
      <c r="AR3" s="92">
        <f t="shared" ref="AR3:AR9" si="19">SUM(AO3:AQ3)</f>
        <v>2589.49</v>
      </c>
      <c r="AS3" s="94">
        <f>[1]汇总!AY33</f>
        <v>33</v>
      </c>
      <c r="AT3" s="94">
        <f>[1]汇总!AZ33</f>
        <v>106.9</v>
      </c>
      <c r="AU3" s="94">
        <f>[1]汇总!BA33</f>
        <v>72.4</v>
      </c>
      <c r="AV3" s="92">
        <f t="shared" ref="AV3:AV9" si="20">SUM(AS3:AU3)</f>
        <v>212.3</v>
      </c>
      <c r="AW3" s="94">
        <f>[1]汇总!BC33</f>
        <v>0</v>
      </c>
      <c r="AX3" s="94">
        <f>[1]汇总!BD33</f>
        <v>0</v>
      </c>
      <c r="AY3" s="94">
        <f>[1]汇总!BE33</f>
        <v>0</v>
      </c>
      <c r="AZ3" s="92">
        <f t="shared" ref="AZ3:AZ9" si="21">SUM(AW3:AY3)</f>
        <v>0</v>
      </c>
      <c r="BA3" s="95">
        <f>[1]汇总!BG33</f>
        <v>0</v>
      </c>
      <c r="BB3" s="95">
        <f>[1]汇总!BH33</f>
        <v>0</v>
      </c>
      <c r="BC3" s="95">
        <f>[1]汇总!BI33</f>
        <v>0</v>
      </c>
      <c r="BD3" s="95">
        <f>[1]汇总!BJ33</f>
        <v>0</v>
      </c>
      <c r="BE3" s="95">
        <f>[1]汇总!BK33</f>
        <v>0</v>
      </c>
      <c r="BF3" s="95">
        <f>[1]汇总!BL33</f>
        <v>0</v>
      </c>
      <c r="BG3" s="92">
        <f>[1]汇总!BM33</f>
        <v>0</v>
      </c>
      <c r="BH3" s="96">
        <f>[1]汇总!N33+[1]汇总!O33</f>
        <v>0</v>
      </c>
      <c r="BI3" s="97">
        <f>([1]汇总!P33+[1]汇总!Q33)</f>
        <v>3000</v>
      </c>
      <c r="BJ3" s="98">
        <f>[1]汇总!R33</f>
        <v>0</v>
      </c>
      <c r="BK3" s="98">
        <f>[1]汇总!S33</f>
        <v>0</v>
      </c>
      <c r="BL3" s="98">
        <f>[1]汇总!T33</f>
        <v>0</v>
      </c>
      <c r="BM3" s="98">
        <f>[1]汇总!U33</f>
        <v>100</v>
      </c>
      <c r="BN3" s="99">
        <f>[1]汇总!V33</f>
        <v>0</v>
      </c>
      <c r="BO3" s="99">
        <f>[1]汇总!W33</f>
        <v>0</v>
      </c>
    </row>
    <row r="4" s="2" customFormat="1" ht="15.6" spans="1:67">
      <c r="A4" s="72">
        <v>202602</v>
      </c>
      <c r="B4" s="73">
        <f>56573.36+0.5</f>
        <v>56573.86</v>
      </c>
      <c r="C4" s="74">
        <v>3631.27</v>
      </c>
      <c r="D4" s="75">
        <f t="shared" ref="D4:D10" si="22">B4-C4</f>
        <v>52942.59</v>
      </c>
      <c r="E4" s="76">
        <f t="shared" si="0"/>
        <v>7686.93</v>
      </c>
      <c r="F4" s="77">
        <f t="shared" si="1"/>
        <v>60629.52</v>
      </c>
      <c r="G4" s="78">
        <f t="shared" si="2"/>
        <v>7709.93</v>
      </c>
      <c r="H4" s="79">
        <f t="shared" si="3"/>
        <v>22000</v>
      </c>
      <c r="I4" s="80">
        <f t="shared" si="4"/>
        <v>0</v>
      </c>
      <c r="J4" s="81">
        <f t="shared" si="5"/>
        <v>-23</v>
      </c>
      <c r="K4" s="82">
        <f t="shared" si="6"/>
        <v>14290.07</v>
      </c>
      <c r="L4" s="83">
        <f t="shared" si="7"/>
        <v>930</v>
      </c>
      <c r="M4" s="84">
        <f t="shared" si="8"/>
        <v>0</v>
      </c>
      <c r="N4" s="84">
        <f t="shared" si="9"/>
        <v>10456.83</v>
      </c>
      <c r="O4" s="84">
        <f t="shared" si="10"/>
        <v>0</v>
      </c>
      <c r="P4" s="85">
        <f t="shared" si="11"/>
        <v>2663.14</v>
      </c>
      <c r="Q4" s="85">
        <f t="shared" si="12"/>
        <v>211.1</v>
      </c>
      <c r="R4" s="85">
        <f t="shared" si="13"/>
        <v>29</v>
      </c>
      <c r="S4" s="85">
        <f t="shared" si="14"/>
        <v>0</v>
      </c>
      <c r="T4" s="85">
        <f t="shared" si="15"/>
        <v>0</v>
      </c>
      <c r="U4" s="86">
        <f t="shared" si="16"/>
        <v>2903.24</v>
      </c>
      <c r="V4" s="87">
        <f>[1]汇总!K34</f>
        <v>22000</v>
      </c>
      <c r="W4" s="88">
        <f>[1]汇总!L34</f>
        <v>0</v>
      </c>
      <c r="X4" s="89">
        <f>[1]汇总!M34</f>
        <v>0</v>
      </c>
      <c r="Y4" s="90">
        <f>[1]汇总!X34</f>
        <v>930</v>
      </c>
      <c r="Z4" s="91">
        <f>[1]汇总!Y34</f>
        <v>0</v>
      </c>
      <c r="AA4" s="76">
        <f>[1]汇总!Z34</f>
        <v>9200</v>
      </c>
      <c r="AB4" s="76">
        <f>[1]汇总!AA34</f>
        <v>1654.83</v>
      </c>
      <c r="AC4" s="76">
        <f>[1]汇总!AB34</f>
        <v>-398</v>
      </c>
      <c r="AD4" s="76">
        <f>[1]汇总!AC34</f>
        <v>0</v>
      </c>
      <c r="AE4" s="92">
        <f t="shared" si="17"/>
        <v>10456.83</v>
      </c>
      <c r="AF4" s="76">
        <f>[1]汇总!AE34</f>
        <v>0</v>
      </c>
      <c r="AG4" s="93">
        <f>[1]汇总!AL34</f>
        <v>117</v>
      </c>
      <c r="AH4" s="93">
        <f>[1]汇总!AM34</f>
        <v>300</v>
      </c>
      <c r="AI4" s="93">
        <f>[1]汇总!AN34+[1]汇总!AO34</f>
        <v>0</v>
      </c>
      <c r="AJ4" s="93">
        <f>[1]汇总!AP34</f>
        <v>1247.65</v>
      </c>
      <c r="AK4" s="93">
        <f>[1]汇总!AQ34</f>
        <v>0</v>
      </c>
      <c r="AL4" s="93">
        <f>[1]汇总!AR34</f>
        <v>649.49</v>
      </c>
      <c r="AM4" s="93">
        <f>[1]汇总!AS34</f>
        <v>349</v>
      </c>
      <c r="AN4" s="92">
        <f t="shared" si="18"/>
        <v>2663.14</v>
      </c>
      <c r="AO4" s="88">
        <f>[1]汇总!AU34</f>
        <v>188</v>
      </c>
      <c r="AP4" s="88">
        <f>[1]汇总!AV34</f>
        <v>23.1</v>
      </c>
      <c r="AQ4" s="88">
        <f>[1]汇总!AW34</f>
        <v>0</v>
      </c>
      <c r="AR4" s="92">
        <f t="shared" si="19"/>
        <v>211.1</v>
      </c>
      <c r="AS4" s="94">
        <f>[1]汇总!AY34</f>
        <v>29</v>
      </c>
      <c r="AT4" s="94">
        <f>[1]汇总!AZ34</f>
        <v>0</v>
      </c>
      <c r="AU4" s="94">
        <f>[1]汇总!BA34</f>
        <v>0</v>
      </c>
      <c r="AV4" s="92">
        <f t="shared" si="20"/>
        <v>29</v>
      </c>
      <c r="AW4" s="94">
        <f>[1]汇总!BC34</f>
        <v>0</v>
      </c>
      <c r="AX4" s="94">
        <f>[1]汇总!BD34</f>
        <v>0</v>
      </c>
      <c r="AY4" s="94">
        <f>[1]汇总!BE34</f>
        <v>0</v>
      </c>
      <c r="AZ4" s="92">
        <f t="shared" si="21"/>
        <v>0</v>
      </c>
      <c r="BA4" s="95">
        <f>[1]汇总!BG34</f>
        <v>0</v>
      </c>
      <c r="BB4" s="95">
        <f>[1]汇总!BH34</f>
        <v>0</v>
      </c>
      <c r="BC4" s="95">
        <f>[1]汇总!BI34</f>
        <v>0</v>
      </c>
      <c r="BD4" s="95">
        <f>[1]汇总!BJ34</f>
        <v>0</v>
      </c>
      <c r="BE4" s="95">
        <f>[1]汇总!BK34</f>
        <v>0</v>
      </c>
      <c r="BF4" s="95">
        <f>[1]汇总!BL34</f>
        <v>0</v>
      </c>
      <c r="BG4" s="92">
        <f>[1]汇总!BM34</f>
        <v>0</v>
      </c>
      <c r="BH4" s="96">
        <f>[1]汇总!N34+[1]汇总!O34</f>
        <v>0</v>
      </c>
      <c r="BI4" s="97">
        <f>([1]汇总!P34+[1]汇总!Q34)</f>
        <v>0</v>
      </c>
      <c r="BJ4" s="98">
        <f>[1]汇总!R34</f>
        <v>0</v>
      </c>
      <c r="BK4" s="98">
        <f>[1]汇总!S34</f>
        <v>0</v>
      </c>
      <c r="BL4" s="98">
        <f>[1]汇总!T34</f>
        <v>0</v>
      </c>
      <c r="BM4" s="98">
        <f>[1]汇总!U34</f>
        <v>23</v>
      </c>
      <c r="BN4" s="99">
        <f>[1]汇总!V34</f>
        <v>0</v>
      </c>
      <c r="BO4" s="99">
        <f>[1]汇总!W34</f>
        <v>0</v>
      </c>
    </row>
    <row r="5" s="2" customFormat="1" ht="15.6" spans="1:67">
      <c r="A5" s="72">
        <v>202603</v>
      </c>
      <c r="B5" s="73">
        <f>0.5+64003.47</f>
        <v>64003.97</v>
      </c>
      <c r="C5" s="74">
        <v>3374.45</v>
      </c>
      <c r="D5" s="75">
        <f t="shared" si="22"/>
        <v>60629.52</v>
      </c>
      <c r="E5" s="76">
        <f t="shared" si="0"/>
        <v>-14389.33</v>
      </c>
      <c r="F5" s="77">
        <f t="shared" si="1"/>
        <v>46240.19</v>
      </c>
      <c r="G5" s="78">
        <f t="shared" si="2"/>
        <v>-14389.33</v>
      </c>
      <c r="H5" s="79">
        <f t="shared" si="3"/>
        <v>22000</v>
      </c>
      <c r="I5" s="80">
        <f t="shared" si="4"/>
        <v>0</v>
      </c>
      <c r="J5" s="81">
        <f t="shared" si="5"/>
        <v>0</v>
      </c>
      <c r="K5" s="82">
        <f t="shared" si="6"/>
        <v>36389.33</v>
      </c>
      <c r="L5" s="83">
        <f t="shared" si="7"/>
        <v>30000</v>
      </c>
      <c r="M5" s="84">
        <f t="shared" si="8"/>
        <v>0</v>
      </c>
      <c r="N5" s="84">
        <f t="shared" si="9"/>
        <v>647.8</v>
      </c>
      <c r="O5" s="84">
        <f t="shared" si="10"/>
        <v>0</v>
      </c>
      <c r="P5" s="85">
        <f t="shared" si="11"/>
        <v>1584.68</v>
      </c>
      <c r="Q5" s="85">
        <f t="shared" si="12"/>
        <v>2134.29</v>
      </c>
      <c r="R5" s="85">
        <f t="shared" si="13"/>
        <v>765.8</v>
      </c>
      <c r="S5" s="85">
        <f t="shared" si="14"/>
        <v>0</v>
      </c>
      <c r="T5" s="85">
        <f t="shared" si="15"/>
        <v>1256.76</v>
      </c>
      <c r="U5" s="86">
        <f t="shared" si="16"/>
        <v>5741.53</v>
      </c>
      <c r="V5" s="87">
        <f>[1]汇总!K35</f>
        <v>22000</v>
      </c>
      <c r="W5" s="88">
        <f>[1]汇总!L35</f>
        <v>0</v>
      </c>
      <c r="X5" s="89">
        <f>[1]汇总!M35</f>
        <v>0</v>
      </c>
      <c r="Y5" s="90">
        <f>[1]汇总!X35</f>
        <v>30000</v>
      </c>
      <c r="Z5" s="91">
        <f>[1]汇总!Y35</f>
        <v>0</v>
      </c>
      <c r="AA5" s="76">
        <f>[1]汇总!Z35</f>
        <v>0</v>
      </c>
      <c r="AB5" s="76">
        <f>[1]汇总!AA35</f>
        <v>-60.2</v>
      </c>
      <c r="AC5" s="76">
        <f>[1]汇总!AB35</f>
        <v>708</v>
      </c>
      <c r="AD5" s="76">
        <f>[1]汇总!AC35</f>
        <v>0</v>
      </c>
      <c r="AE5" s="92">
        <f t="shared" si="17"/>
        <v>647.8</v>
      </c>
      <c r="AF5" s="76">
        <f>[1]汇总!AE35</f>
        <v>0</v>
      </c>
      <c r="AG5" s="93">
        <f>[1]汇总!AL35</f>
        <v>216</v>
      </c>
      <c r="AH5" s="93">
        <f>[1]汇总!AM35</f>
        <v>150</v>
      </c>
      <c r="AI5" s="93">
        <f>[1]汇总!AN35+[1]汇总!AO35</f>
        <v>0</v>
      </c>
      <c r="AJ5" s="93">
        <f>[1]汇总!AP35</f>
        <v>963.08</v>
      </c>
      <c r="AK5" s="93">
        <f>[1]汇总!AQ35</f>
        <v>0</v>
      </c>
      <c r="AL5" s="93">
        <f>[1]汇总!AR35</f>
        <v>106.6</v>
      </c>
      <c r="AM5" s="93">
        <f>[1]汇总!AS35</f>
        <v>149</v>
      </c>
      <c r="AN5" s="92">
        <f t="shared" si="18"/>
        <v>1584.68</v>
      </c>
      <c r="AO5" s="88">
        <f>[1]汇总!AU35</f>
        <v>599</v>
      </c>
      <c r="AP5" s="88">
        <f>[1]汇总!AV35</f>
        <v>1535.29</v>
      </c>
      <c r="AQ5" s="88">
        <f>[1]汇总!AW35</f>
        <v>0</v>
      </c>
      <c r="AR5" s="92">
        <f t="shared" si="19"/>
        <v>2134.29</v>
      </c>
      <c r="AS5" s="94">
        <f>[1]汇总!AY35</f>
        <v>29</v>
      </c>
      <c r="AT5" s="94">
        <f>[1]汇总!AZ35</f>
        <v>0</v>
      </c>
      <c r="AU5" s="94">
        <f>[1]汇总!BA35</f>
        <v>736.8</v>
      </c>
      <c r="AV5" s="92">
        <f t="shared" si="20"/>
        <v>765.8</v>
      </c>
      <c r="AW5" s="94">
        <f>[1]汇总!BC35</f>
        <v>0</v>
      </c>
      <c r="AX5" s="94">
        <f>[1]汇总!BD35</f>
        <v>0</v>
      </c>
      <c r="AY5" s="94">
        <f>[1]汇总!BE35</f>
        <v>0</v>
      </c>
      <c r="AZ5" s="92">
        <f t="shared" si="21"/>
        <v>0</v>
      </c>
      <c r="BA5" s="95">
        <f>[1]汇总!BG35</f>
        <v>1256.76</v>
      </c>
      <c r="BB5" s="95">
        <f>[1]汇总!BH35</f>
        <v>0</v>
      </c>
      <c r="BC5" s="95">
        <f>[1]汇总!BI35</f>
        <v>0</v>
      </c>
      <c r="BD5" s="95">
        <f>[1]汇总!BJ35</f>
        <v>0</v>
      </c>
      <c r="BE5" s="95">
        <f>[1]汇总!BK35</f>
        <v>0</v>
      </c>
      <c r="BF5" s="95">
        <f>[1]汇总!BL35</f>
        <v>0</v>
      </c>
      <c r="BG5" s="92">
        <f>[1]汇总!BM35</f>
        <v>1256.76</v>
      </c>
      <c r="BH5" s="96">
        <f>[1]汇总!N35+[1]汇总!O35</f>
        <v>0</v>
      </c>
      <c r="BI5" s="97">
        <f>([1]汇总!P35+[1]汇总!Q35)</f>
        <v>0</v>
      </c>
      <c r="BJ5" s="98">
        <f>[1]汇总!R35</f>
        <v>0</v>
      </c>
      <c r="BK5" s="98">
        <f>[1]汇总!S35</f>
        <v>0</v>
      </c>
      <c r="BL5" s="98">
        <f>[1]汇总!T35</f>
        <v>0</v>
      </c>
      <c r="BM5" s="98">
        <f>[1]汇总!U35</f>
        <v>0</v>
      </c>
      <c r="BN5" s="99">
        <f>[1]汇总!V35</f>
        <v>0</v>
      </c>
      <c r="BO5" s="99">
        <f>[1]汇总!W35</f>
        <v>0</v>
      </c>
    </row>
    <row r="6" s="2" customFormat="1" ht="15.6" spans="1:67">
      <c r="A6" s="72">
        <v>202604</v>
      </c>
      <c r="B6" s="73">
        <f>0.5+48883.65</f>
        <v>48884.15</v>
      </c>
      <c r="C6" s="74">
        <v>2643.96</v>
      </c>
      <c r="D6" s="75">
        <f t="shared" si="22"/>
        <v>46240.19</v>
      </c>
      <c r="E6" s="76">
        <f t="shared" si="0"/>
        <v>16081.38</v>
      </c>
      <c r="F6" s="77">
        <f t="shared" si="1"/>
        <v>62321.57</v>
      </c>
      <c r="G6" s="78">
        <f t="shared" si="2"/>
        <v>16081.38</v>
      </c>
      <c r="H6" s="79">
        <f t="shared" si="3"/>
        <v>22000</v>
      </c>
      <c r="I6" s="80">
        <f t="shared" si="4"/>
        <v>0</v>
      </c>
      <c r="J6" s="81">
        <f t="shared" si="5"/>
        <v>0</v>
      </c>
      <c r="K6" s="82">
        <f t="shared" si="6"/>
        <v>5918.62</v>
      </c>
      <c r="L6" s="83">
        <f t="shared" si="7"/>
        <v>0</v>
      </c>
      <c r="M6" s="84">
        <f t="shared" si="8"/>
        <v>0</v>
      </c>
      <c r="N6" s="84">
        <f t="shared" si="9"/>
        <v>0</v>
      </c>
      <c r="O6" s="84">
        <f t="shared" si="10"/>
        <v>0</v>
      </c>
      <c r="P6" s="85">
        <f t="shared" si="11"/>
        <v>3406.42</v>
      </c>
      <c r="Q6" s="85">
        <f t="shared" si="12"/>
        <v>2152.2</v>
      </c>
      <c r="R6" s="85">
        <f t="shared" si="13"/>
        <v>360</v>
      </c>
      <c r="S6" s="85">
        <f t="shared" si="14"/>
        <v>0</v>
      </c>
      <c r="T6" s="85">
        <f t="shared" si="15"/>
        <v>0</v>
      </c>
      <c r="U6" s="86">
        <f t="shared" si="16"/>
        <v>5918.62</v>
      </c>
      <c r="V6" s="87">
        <f>[1]汇总!K36</f>
        <v>22000</v>
      </c>
      <c r="W6" s="88">
        <f>[1]汇总!L36</f>
        <v>0</v>
      </c>
      <c r="X6" s="89">
        <f>[1]汇总!M36</f>
        <v>0</v>
      </c>
      <c r="Y6" s="90">
        <f>[1]汇总!X36</f>
        <v>0</v>
      </c>
      <c r="Z6" s="91">
        <f>[1]汇总!Y36</f>
        <v>0</v>
      </c>
      <c r="AA6" s="76">
        <f>[1]汇总!Z36</f>
        <v>0</v>
      </c>
      <c r="AB6" s="76">
        <f>[1]汇总!AA36</f>
        <v>0</v>
      </c>
      <c r="AC6" s="76">
        <f>[1]汇总!AB36</f>
        <v>0</v>
      </c>
      <c r="AD6" s="76">
        <f>[1]汇总!AC36</f>
        <v>0</v>
      </c>
      <c r="AE6" s="92">
        <f t="shared" si="17"/>
        <v>0</v>
      </c>
      <c r="AF6" s="76">
        <f>[1]汇总!AE36</f>
        <v>0</v>
      </c>
      <c r="AG6" s="93">
        <f>[1]汇总!AL36</f>
        <v>432.2</v>
      </c>
      <c r="AH6" s="93">
        <f>[1]汇总!AM36</f>
        <v>20</v>
      </c>
      <c r="AI6" s="93">
        <f>[1]汇总!AN36+[1]汇总!AO36</f>
        <v>0</v>
      </c>
      <c r="AJ6" s="93">
        <f>[1]汇总!AP36</f>
        <v>1678.32</v>
      </c>
      <c r="AK6" s="93">
        <f>[1]汇总!AQ36</f>
        <v>243</v>
      </c>
      <c r="AL6" s="93">
        <f>[1]汇总!AR36</f>
        <v>742.9</v>
      </c>
      <c r="AM6" s="93">
        <f>[1]汇总!AS36</f>
        <v>290</v>
      </c>
      <c r="AN6" s="92">
        <f t="shared" si="18"/>
        <v>3406.42</v>
      </c>
      <c r="AO6" s="88">
        <f>[1]汇总!AU36</f>
        <v>511.6</v>
      </c>
      <c r="AP6" s="88">
        <f>[1]汇总!AV36</f>
        <v>1640.6</v>
      </c>
      <c r="AQ6" s="88">
        <f>[1]汇总!AW36</f>
        <v>0</v>
      </c>
      <c r="AR6" s="92">
        <f t="shared" si="19"/>
        <v>2152.2</v>
      </c>
      <c r="AS6" s="94">
        <f>[1]汇总!AY36</f>
        <v>21</v>
      </c>
      <c r="AT6" s="94">
        <f>[1]汇总!AZ36</f>
        <v>0</v>
      </c>
      <c r="AU6" s="94">
        <f>[1]汇总!BA36</f>
        <v>339</v>
      </c>
      <c r="AV6" s="92">
        <f t="shared" si="20"/>
        <v>360</v>
      </c>
      <c r="AW6" s="94">
        <f>[1]汇总!BC36</f>
        <v>0</v>
      </c>
      <c r="AX6" s="94">
        <f>[1]汇总!BD36</f>
        <v>0</v>
      </c>
      <c r="AY6" s="94">
        <f>[1]汇总!BE36</f>
        <v>0</v>
      </c>
      <c r="AZ6" s="92">
        <f t="shared" si="21"/>
        <v>0</v>
      </c>
      <c r="BA6" s="95">
        <f>[1]汇总!BG36</f>
        <v>0</v>
      </c>
      <c r="BB6" s="95">
        <f>[1]汇总!BH36</f>
        <v>0</v>
      </c>
      <c r="BC6" s="95">
        <f>[1]汇总!BI36</f>
        <v>0</v>
      </c>
      <c r="BD6" s="95">
        <f>[1]汇总!BJ36</f>
        <v>0</v>
      </c>
      <c r="BE6" s="95">
        <f>[1]汇总!BK36</f>
        <v>0</v>
      </c>
      <c r="BF6" s="95">
        <f>[1]汇总!BL36</f>
        <v>0</v>
      </c>
      <c r="BG6" s="92">
        <f>[1]汇总!BM36</f>
        <v>0</v>
      </c>
      <c r="BH6" s="96">
        <f>[1]汇总!N36+[1]汇总!O36</f>
        <v>0</v>
      </c>
      <c r="BI6" s="97">
        <f>([1]汇总!P36+[1]汇总!Q36)</f>
        <v>0</v>
      </c>
      <c r="BJ6" s="98">
        <f>[1]汇总!R36</f>
        <v>0</v>
      </c>
      <c r="BK6" s="98">
        <f>[1]汇总!S36</f>
        <v>0</v>
      </c>
      <c r="BL6" s="98">
        <f>[1]汇总!T36</f>
        <v>0</v>
      </c>
      <c r="BM6" s="98">
        <f>[1]汇总!U36</f>
        <v>0</v>
      </c>
      <c r="BN6" s="99">
        <f>[1]汇总!V36</f>
        <v>0</v>
      </c>
      <c r="BO6" s="99">
        <f>[1]汇总!W36</f>
        <v>0</v>
      </c>
    </row>
    <row r="7" s="2" customFormat="1" ht="15.6" spans="1:67">
      <c r="A7" s="72">
        <v>202605</v>
      </c>
      <c r="B7" s="73">
        <f>0.5+64393.61</f>
        <v>64394.11</v>
      </c>
      <c r="C7" s="74">
        <v>2072.54</v>
      </c>
      <c r="D7" s="75">
        <f t="shared" si="22"/>
        <v>62321.57</v>
      </c>
      <c r="E7" s="76">
        <f t="shared" si="0"/>
        <v>3691.58</v>
      </c>
      <c r="F7" s="77">
        <f t="shared" si="1"/>
        <v>66013.15</v>
      </c>
      <c r="G7" s="78">
        <f t="shared" si="2"/>
        <v>3854.58</v>
      </c>
      <c r="H7" s="79">
        <f t="shared" si="3"/>
        <v>21511</v>
      </c>
      <c r="I7" s="80">
        <f t="shared" si="4"/>
        <v>5000</v>
      </c>
      <c r="J7" s="81">
        <f t="shared" si="5"/>
        <v>-5163</v>
      </c>
      <c r="K7" s="82">
        <f t="shared" si="6"/>
        <v>17656.42</v>
      </c>
      <c r="L7" s="83">
        <f t="shared" si="7"/>
        <v>0</v>
      </c>
      <c r="M7" s="84">
        <f t="shared" si="8"/>
        <v>1048.85</v>
      </c>
      <c r="N7" s="84">
        <f t="shared" si="9"/>
        <v>10237.8</v>
      </c>
      <c r="O7" s="84">
        <f t="shared" si="10"/>
        <v>0</v>
      </c>
      <c r="P7" s="85">
        <f t="shared" si="11"/>
        <v>4759.04</v>
      </c>
      <c r="Q7" s="85">
        <f t="shared" si="12"/>
        <v>949.61</v>
      </c>
      <c r="R7" s="85">
        <f t="shared" si="13"/>
        <v>29</v>
      </c>
      <c r="S7" s="85">
        <f t="shared" si="14"/>
        <v>252.74</v>
      </c>
      <c r="T7" s="85">
        <f t="shared" si="15"/>
        <v>379.38</v>
      </c>
      <c r="U7" s="86">
        <f t="shared" si="16"/>
        <v>6369.77</v>
      </c>
      <c r="V7" s="87">
        <f>[1]汇总!K37</f>
        <v>0</v>
      </c>
      <c r="W7" s="88">
        <f>[1]汇总!L37</f>
        <v>21511</v>
      </c>
      <c r="X7" s="89">
        <f>[1]汇总!M37</f>
        <v>0</v>
      </c>
      <c r="Y7" s="90">
        <f>[1]汇总!X37</f>
        <v>0</v>
      </c>
      <c r="Z7" s="91">
        <f>[1]汇总!Y37</f>
        <v>1048.85</v>
      </c>
      <c r="AA7" s="76">
        <f>[1]汇总!Z37</f>
        <v>10000</v>
      </c>
      <c r="AB7" s="76">
        <f>[1]汇总!AA37</f>
        <v>0</v>
      </c>
      <c r="AC7" s="76">
        <f>[1]汇总!AB37</f>
        <v>109.8</v>
      </c>
      <c r="AD7" s="76">
        <f>[1]汇总!AC37</f>
        <v>128</v>
      </c>
      <c r="AE7" s="92">
        <f t="shared" si="17"/>
        <v>10237.8</v>
      </c>
      <c r="AF7" s="76">
        <f>[1]汇总!AE37</f>
        <v>0</v>
      </c>
      <c r="AG7" s="93">
        <f>[1]汇总!AL37</f>
        <v>1114.29</v>
      </c>
      <c r="AH7" s="93">
        <f>[1]汇总!AM37</f>
        <v>2800</v>
      </c>
      <c r="AI7" s="93">
        <f>[1]汇总!AN37+[1]汇总!AO37</f>
        <v>0</v>
      </c>
      <c r="AJ7" s="93">
        <f>[1]汇总!AP37</f>
        <v>185.27</v>
      </c>
      <c r="AK7" s="93">
        <f>[1]汇总!AQ37</f>
        <v>71.8</v>
      </c>
      <c r="AL7" s="93">
        <f>[1]汇总!AR37</f>
        <v>387.68</v>
      </c>
      <c r="AM7" s="93">
        <f>[1]汇总!AS37</f>
        <v>200</v>
      </c>
      <c r="AN7" s="92">
        <f t="shared" si="18"/>
        <v>4759.04</v>
      </c>
      <c r="AO7" s="88">
        <f>[1]汇总!AU37</f>
        <v>95</v>
      </c>
      <c r="AP7" s="88">
        <f>[1]汇总!AV37</f>
        <v>854.61</v>
      </c>
      <c r="AQ7" s="88">
        <f>[1]汇总!AW37</f>
        <v>0</v>
      </c>
      <c r="AR7" s="92">
        <f t="shared" si="19"/>
        <v>949.61</v>
      </c>
      <c r="AS7" s="94">
        <f>[1]汇总!AY37</f>
        <v>29</v>
      </c>
      <c r="AT7" s="94">
        <f>[1]汇总!AZ37</f>
        <v>0</v>
      </c>
      <c r="AU7" s="94">
        <f>[1]汇总!BA37</f>
        <v>0</v>
      </c>
      <c r="AV7" s="92">
        <f t="shared" si="20"/>
        <v>29</v>
      </c>
      <c r="AW7" s="94">
        <f>[1]汇总!BC37</f>
        <v>252.74</v>
      </c>
      <c r="AX7" s="94">
        <f>[1]汇总!BD37</f>
        <v>0</v>
      </c>
      <c r="AY7" s="94">
        <f>[1]汇总!BE37</f>
        <v>0</v>
      </c>
      <c r="AZ7" s="92">
        <f t="shared" si="21"/>
        <v>252.74</v>
      </c>
      <c r="BA7" s="95">
        <f>[1]汇总!BG37</f>
        <v>379.38</v>
      </c>
      <c r="BB7" s="95">
        <f>[1]汇总!BH37</f>
        <v>0</v>
      </c>
      <c r="BC7" s="95">
        <f>[1]汇总!BI37</f>
        <v>0</v>
      </c>
      <c r="BD7" s="95">
        <f>[1]汇总!BJ37</f>
        <v>0</v>
      </c>
      <c r="BE7" s="95">
        <f>[1]汇总!BK37</f>
        <v>0</v>
      </c>
      <c r="BF7" s="95">
        <f>[1]汇总!BL37</f>
        <v>0</v>
      </c>
      <c r="BG7" s="92">
        <f>[1]汇总!BM37</f>
        <v>379.38</v>
      </c>
      <c r="BH7" s="96">
        <f>[1]汇总!N37+[1]汇总!O37</f>
        <v>0</v>
      </c>
      <c r="BI7" s="97">
        <f>([1]汇总!P37+[1]汇总!Q37)</f>
        <v>5000</v>
      </c>
      <c r="BJ7" s="98">
        <f>[1]汇总!R37</f>
        <v>0</v>
      </c>
      <c r="BK7" s="98">
        <f>[1]汇总!S37</f>
        <v>5163</v>
      </c>
      <c r="BL7" s="98">
        <f>[1]汇总!T37</f>
        <v>0</v>
      </c>
      <c r="BM7" s="98">
        <f>[1]汇总!U37</f>
        <v>0</v>
      </c>
      <c r="BN7" s="99">
        <f>[1]汇总!V37</f>
        <v>0</v>
      </c>
      <c r="BO7" s="99">
        <f>[1]汇总!W37</f>
        <v>0</v>
      </c>
    </row>
    <row r="8" s="2" customFormat="1" ht="15.6" spans="1:67">
      <c r="A8" s="72">
        <v>202606</v>
      </c>
      <c r="B8" s="73">
        <f>2858.5+222+5.19+65000</f>
        <v>68085.69</v>
      </c>
      <c r="C8" s="74">
        <v>2072.54</v>
      </c>
      <c r="D8" s="75">
        <f t="shared" si="22"/>
        <v>66013.15</v>
      </c>
      <c r="E8" s="76">
        <f t="shared" si="0"/>
        <v>-9479.86</v>
      </c>
      <c r="F8" s="77">
        <f t="shared" si="1"/>
        <v>56533.29</v>
      </c>
      <c r="G8" s="78">
        <f t="shared" si="2"/>
        <v>-8677.86</v>
      </c>
      <c r="H8" s="79">
        <f t="shared" si="3"/>
        <v>122</v>
      </c>
      <c r="I8" s="80">
        <f t="shared" si="4"/>
        <v>0</v>
      </c>
      <c r="J8" s="81">
        <f t="shared" si="5"/>
        <v>-802</v>
      </c>
      <c r="K8" s="82">
        <f t="shared" si="6"/>
        <v>8799.86</v>
      </c>
      <c r="L8" s="83">
        <f t="shared" si="7"/>
        <v>300</v>
      </c>
      <c r="M8" s="84">
        <f t="shared" si="8"/>
        <v>777.46</v>
      </c>
      <c r="N8" s="84">
        <f t="shared" si="9"/>
        <v>2000</v>
      </c>
      <c r="O8" s="84">
        <f t="shared" si="10"/>
        <v>0</v>
      </c>
      <c r="P8" s="85">
        <f t="shared" si="11"/>
        <v>3167.96</v>
      </c>
      <c r="Q8" s="85">
        <f t="shared" si="12"/>
        <v>1689.9</v>
      </c>
      <c r="R8" s="85">
        <f t="shared" si="13"/>
        <v>1117.28</v>
      </c>
      <c r="S8" s="85">
        <f t="shared" si="14"/>
        <v>-252.74</v>
      </c>
      <c r="T8" s="85">
        <f t="shared" si="15"/>
        <v>0</v>
      </c>
      <c r="U8" s="86">
        <f t="shared" si="16"/>
        <v>5722.4</v>
      </c>
      <c r="V8" s="87">
        <f>[1]汇总!K38</f>
        <v>0</v>
      </c>
      <c r="W8" s="88">
        <f>[1]汇总!L38</f>
        <v>122</v>
      </c>
      <c r="X8" s="89">
        <f>[1]汇总!M38</f>
        <v>0</v>
      </c>
      <c r="Y8" s="90">
        <f>[1]汇总!X38</f>
        <v>300</v>
      </c>
      <c r="Z8" s="91">
        <f>[1]汇总!Y38</f>
        <v>777.46</v>
      </c>
      <c r="AA8" s="76">
        <f>[1]汇总!Z38</f>
        <v>2000</v>
      </c>
      <c r="AB8" s="76">
        <f>[1]汇总!AA38</f>
        <v>0</v>
      </c>
      <c r="AC8" s="76">
        <f>[1]汇总!AB38</f>
        <v>0</v>
      </c>
      <c r="AD8" s="76">
        <f>[1]汇总!AC38</f>
        <v>0</v>
      </c>
      <c r="AE8" s="92">
        <f t="shared" si="17"/>
        <v>2000</v>
      </c>
      <c r="AF8" s="76">
        <f>[1]汇总!AE38</f>
        <v>0</v>
      </c>
      <c r="AG8" s="93">
        <f>[1]汇总!AL38</f>
        <v>959.21</v>
      </c>
      <c r="AH8" s="93">
        <f>[1]汇总!AM38</f>
        <v>1320</v>
      </c>
      <c r="AI8" s="93">
        <f>[1]汇总!AN38+[1]汇总!AO38</f>
        <v>0</v>
      </c>
      <c r="AJ8" s="93">
        <f>[1]汇总!AP38</f>
        <v>592.15</v>
      </c>
      <c r="AK8" s="93">
        <f>[1]汇总!AQ38</f>
        <v>0</v>
      </c>
      <c r="AL8" s="93">
        <f>[1]汇总!AR38</f>
        <v>106.6</v>
      </c>
      <c r="AM8" s="93">
        <f>[1]汇总!AS38</f>
        <v>190</v>
      </c>
      <c r="AN8" s="92">
        <f t="shared" si="18"/>
        <v>3167.96</v>
      </c>
      <c r="AO8" s="88">
        <f>[1]汇总!AU38</f>
        <v>552.8</v>
      </c>
      <c r="AP8" s="88">
        <f>[1]汇总!AV38</f>
        <v>1137.1</v>
      </c>
      <c r="AQ8" s="88">
        <f>[1]汇总!AW38</f>
        <v>0</v>
      </c>
      <c r="AR8" s="92">
        <f t="shared" si="19"/>
        <v>1689.9</v>
      </c>
      <c r="AS8" s="94">
        <f>[1]汇总!AY38</f>
        <v>332.69</v>
      </c>
      <c r="AT8" s="94">
        <f>[1]汇总!AZ38</f>
        <v>0</v>
      </c>
      <c r="AU8" s="94">
        <f>[1]汇总!BA38</f>
        <v>784.59</v>
      </c>
      <c r="AV8" s="92">
        <f t="shared" si="20"/>
        <v>1117.28</v>
      </c>
      <c r="AW8" s="94">
        <f>[1]汇总!BC38</f>
        <v>-252.74</v>
      </c>
      <c r="AX8" s="94">
        <f>[1]汇总!BD38</f>
        <v>0</v>
      </c>
      <c r="AY8" s="94">
        <f>[1]汇总!BE38</f>
        <v>0</v>
      </c>
      <c r="AZ8" s="92">
        <f t="shared" si="21"/>
        <v>-252.74</v>
      </c>
      <c r="BA8" s="95">
        <f>[1]汇总!BG38</f>
        <v>0</v>
      </c>
      <c r="BB8" s="95">
        <f>[1]汇总!BH38</f>
        <v>0</v>
      </c>
      <c r="BC8" s="95">
        <f>[1]汇总!BI38</f>
        <v>0</v>
      </c>
      <c r="BD8" s="95">
        <f>[1]汇总!BJ38</f>
        <v>0</v>
      </c>
      <c r="BE8" s="95">
        <f>[1]汇总!BK38</f>
        <v>0</v>
      </c>
      <c r="BF8" s="95">
        <f>[1]汇总!BL38</f>
        <v>0</v>
      </c>
      <c r="BG8" s="92">
        <f>[1]汇总!BM38</f>
        <v>0</v>
      </c>
      <c r="BH8" s="96">
        <f>[1]汇总!N38+[1]汇总!O38</f>
        <v>0</v>
      </c>
      <c r="BI8" s="97">
        <f>([1]汇总!P38+[1]汇总!Q38)</f>
        <v>0</v>
      </c>
      <c r="BJ8" s="98">
        <f>[1]汇总!R38</f>
        <v>0</v>
      </c>
      <c r="BK8" s="98">
        <f>[1]汇总!S38</f>
        <v>802</v>
      </c>
      <c r="BL8" s="98">
        <f>[1]汇总!T38</f>
        <v>0</v>
      </c>
      <c r="BM8" s="98">
        <f>[1]汇总!U38</f>
        <v>0</v>
      </c>
      <c r="BN8" s="99">
        <f>[1]汇总!V38</f>
        <v>0</v>
      </c>
      <c r="BO8" s="99">
        <f>[1]汇总!W38</f>
        <v>0</v>
      </c>
    </row>
    <row r="9" s="2" customFormat="1" ht="15.6" spans="1:67">
      <c r="A9" s="72">
        <v>202607</v>
      </c>
      <c r="B9" s="73">
        <f>2580.89+0.19+55000</f>
        <v>57581.08</v>
      </c>
      <c r="C9" s="74">
        <v>1047.79</v>
      </c>
      <c r="D9" s="75">
        <f t="shared" si="22"/>
        <v>56533.29</v>
      </c>
      <c r="E9" s="76">
        <f t="shared" si="0"/>
        <v>-2.05000000000018</v>
      </c>
      <c r="F9" s="77">
        <f t="shared" si="1"/>
        <v>56531.24</v>
      </c>
      <c r="G9" s="78">
        <f t="shared" si="2"/>
        <v>-2.05000000000018</v>
      </c>
      <c r="H9" s="79">
        <f t="shared" si="3"/>
        <v>0</v>
      </c>
      <c r="I9" s="80">
        <f t="shared" si="4"/>
        <v>0</v>
      </c>
      <c r="J9" s="81">
        <f t="shared" si="5"/>
        <v>0</v>
      </c>
      <c r="K9" s="82">
        <f t="shared" si="6"/>
        <v>2.05000000000018</v>
      </c>
      <c r="L9" s="83">
        <f t="shared" si="7"/>
        <v>0</v>
      </c>
      <c r="M9" s="84">
        <f t="shared" si="8"/>
        <v>0</v>
      </c>
      <c r="N9" s="84">
        <f t="shared" si="9"/>
        <v>0</v>
      </c>
      <c r="O9" s="84">
        <f t="shared" si="10"/>
        <v>0</v>
      </c>
      <c r="P9" s="85">
        <f t="shared" si="11"/>
        <v>2.05000000000018</v>
      </c>
      <c r="Q9" s="85">
        <f t="shared" si="12"/>
        <v>0</v>
      </c>
      <c r="R9" s="85">
        <f t="shared" si="13"/>
        <v>0</v>
      </c>
      <c r="S9" s="85">
        <f t="shared" si="14"/>
        <v>0</v>
      </c>
      <c r="T9" s="85">
        <f t="shared" si="15"/>
        <v>0</v>
      </c>
      <c r="U9" s="86">
        <f t="shared" si="16"/>
        <v>2.05000000000018</v>
      </c>
      <c r="V9" s="87">
        <f>[1]汇总!K39</f>
        <v>0</v>
      </c>
      <c r="W9" s="88">
        <f>[1]汇总!L39</f>
        <v>0</v>
      </c>
      <c r="X9" s="89">
        <f>[1]汇总!M39</f>
        <v>0</v>
      </c>
      <c r="Y9" s="90">
        <f>[1]汇总!X39</f>
        <v>0</v>
      </c>
      <c r="Z9" s="91">
        <f>[1]汇总!Y39</f>
        <v>0</v>
      </c>
      <c r="AA9" s="76">
        <f>[1]汇总!Z39</f>
        <v>0</v>
      </c>
      <c r="AB9" s="76">
        <f>[1]汇总!AA39</f>
        <v>0</v>
      </c>
      <c r="AC9" s="76">
        <f>[1]汇总!AB39</f>
        <v>0</v>
      </c>
      <c r="AD9" s="76">
        <f>[1]汇总!AC39</f>
        <v>0</v>
      </c>
      <c r="AE9" s="92">
        <f t="shared" si="17"/>
        <v>0</v>
      </c>
      <c r="AF9" s="76">
        <f>[1]汇总!AE39</f>
        <v>0</v>
      </c>
      <c r="AG9" s="93">
        <f>[1]汇总!AL39</f>
        <v>0</v>
      </c>
      <c r="AH9" s="93">
        <f>[1]汇总!AM39</f>
        <v>0</v>
      </c>
      <c r="AI9" s="93">
        <f>[1]汇总!AN39+[1]汇总!AO39</f>
        <v>0</v>
      </c>
      <c r="AJ9" s="93">
        <f>[1]汇总!AP39</f>
        <v>2.05000000000018</v>
      </c>
      <c r="AK9" s="93">
        <f>[1]汇总!AQ39</f>
        <v>0</v>
      </c>
      <c r="AL9" s="93">
        <f>[1]汇总!AR39</f>
        <v>0</v>
      </c>
      <c r="AM9" s="93">
        <f>[1]汇总!AS39</f>
        <v>0</v>
      </c>
      <c r="AN9" s="92">
        <f t="shared" si="18"/>
        <v>2.05000000000018</v>
      </c>
      <c r="AO9" s="88">
        <f>[1]汇总!AU39</f>
        <v>0</v>
      </c>
      <c r="AP9" s="88">
        <f>[1]汇总!AV39</f>
        <v>0</v>
      </c>
      <c r="AQ9" s="88">
        <f>[1]汇总!AW39</f>
        <v>0</v>
      </c>
      <c r="AR9" s="92">
        <f t="shared" si="19"/>
        <v>0</v>
      </c>
      <c r="AS9" s="94">
        <f>[1]汇总!AY39</f>
        <v>0</v>
      </c>
      <c r="AT9" s="94">
        <f>[1]汇总!AZ39</f>
        <v>0</v>
      </c>
      <c r="AU9" s="94">
        <f>[1]汇总!BA39</f>
        <v>0</v>
      </c>
      <c r="AV9" s="92">
        <f t="shared" si="20"/>
        <v>0</v>
      </c>
      <c r="AW9" s="94">
        <f>[1]汇总!BC39</f>
        <v>0</v>
      </c>
      <c r="AX9" s="94">
        <f>[1]汇总!BD39</f>
        <v>0</v>
      </c>
      <c r="AY9" s="94">
        <f>[1]汇总!BE39</f>
        <v>0</v>
      </c>
      <c r="AZ9" s="92">
        <f t="shared" si="21"/>
        <v>0</v>
      </c>
      <c r="BA9" s="95">
        <f>[1]汇总!BG39</f>
        <v>0</v>
      </c>
      <c r="BB9" s="95">
        <f>[1]汇总!BH39</f>
        <v>0</v>
      </c>
      <c r="BC9" s="95">
        <f>[1]汇总!BI39</f>
        <v>0</v>
      </c>
      <c r="BD9" s="95">
        <f>[1]汇总!BJ39</f>
        <v>0</v>
      </c>
      <c r="BE9" s="95">
        <f>[1]汇总!BK39</f>
        <v>0</v>
      </c>
      <c r="BF9" s="95">
        <f>[1]汇总!BL39</f>
        <v>0</v>
      </c>
      <c r="BG9" s="92">
        <f>[1]汇总!BM39</f>
        <v>0</v>
      </c>
      <c r="BH9" s="96">
        <f>[1]汇总!N39+[1]汇总!O39</f>
        <v>0</v>
      </c>
      <c r="BI9" s="97">
        <f>([1]汇总!P39+[1]汇总!Q39)</f>
        <v>0</v>
      </c>
      <c r="BJ9" s="98">
        <f>[1]汇总!R39</f>
        <v>0</v>
      </c>
      <c r="BK9" s="98">
        <f>[1]汇总!S39</f>
        <v>0</v>
      </c>
      <c r="BL9" s="98">
        <f>[1]汇总!T39</f>
        <v>0</v>
      </c>
      <c r="BM9" s="98">
        <f>[1]汇总!U39</f>
        <v>0</v>
      </c>
      <c r="BN9" s="99">
        <f>[1]汇总!V39</f>
        <v>0</v>
      </c>
      <c r="BO9" s="99">
        <f>[1]汇总!W39</f>
        <v>0</v>
      </c>
    </row>
    <row r="10" s="2" customFormat="1" ht="15.6" spans="1:67">
      <c r="A10" s="72">
        <v>202608</v>
      </c>
      <c r="B10" s="73">
        <f>2578.84+0.19+55000</f>
        <v>57579.03</v>
      </c>
      <c r="C10" s="74">
        <v>1047.79</v>
      </c>
      <c r="D10" s="75">
        <f t="shared" si="22"/>
        <v>56531.24</v>
      </c>
      <c r="E10" s="76">
        <f t="shared" si="0"/>
        <v>0</v>
      </c>
      <c r="F10" s="77"/>
      <c r="G10" s="78"/>
      <c r="H10" s="79"/>
      <c r="I10" s="80"/>
      <c r="J10" s="81"/>
      <c r="K10" s="82">
        <f t="shared" si="6"/>
        <v>0</v>
      </c>
      <c r="L10" s="83">
        <f t="shared" si="7"/>
        <v>0</v>
      </c>
      <c r="M10" s="84">
        <f t="shared" si="8"/>
        <v>0</v>
      </c>
      <c r="N10" s="84">
        <f t="shared" si="9"/>
        <v>0</v>
      </c>
      <c r="O10" s="84">
        <f t="shared" si="10"/>
        <v>0</v>
      </c>
      <c r="P10" s="85">
        <f t="shared" si="11"/>
        <v>0</v>
      </c>
      <c r="Q10" s="85">
        <f t="shared" si="12"/>
        <v>0</v>
      </c>
      <c r="R10" s="85">
        <f t="shared" si="13"/>
        <v>0</v>
      </c>
      <c r="S10" s="85">
        <f t="shared" si="14"/>
        <v>0</v>
      </c>
      <c r="T10" s="85">
        <f t="shared" si="15"/>
        <v>0</v>
      </c>
      <c r="U10" s="86">
        <f t="shared" si="16"/>
        <v>0</v>
      </c>
      <c r="V10" s="87"/>
      <c r="W10" s="88"/>
      <c r="X10" s="89"/>
      <c r="Y10" s="90"/>
      <c r="Z10" s="91"/>
      <c r="AA10" s="76"/>
      <c r="AB10" s="76"/>
      <c r="AC10" s="76"/>
      <c r="AD10" s="76"/>
      <c r="AE10" s="92"/>
      <c r="AF10" s="76"/>
      <c r="AG10" s="93"/>
      <c r="AH10" s="93"/>
      <c r="AI10" s="93"/>
      <c r="AJ10" s="93"/>
      <c r="AK10" s="93"/>
      <c r="AL10" s="93"/>
      <c r="AM10" s="93"/>
      <c r="AN10" s="92"/>
      <c r="AO10" s="88"/>
      <c r="AP10" s="88"/>
      <c r="AQ10" s="88"/>
      <c r="AR10" s="92"/>
      <c r="AS10" s="94"/>
      <c r="AT10" s="94"/>
      <c r="AU10" s="94"/>
      <c r="AV10" s="100"/>
      <c r="AW10" s="94"/>
      <c r="AX10" s="94"/>
      <c r="AY10" s="94"/>
      <c r="AZ10" s="100"/>
      <c r="BA10" s="95"/>
      <c r="BB10" s="95"/>
      <c r="BC10" s="95"/>
      <c r="BD10" s="95"/>
      <c r="BE10" s="95"/>
      <c r="BF10" s="95"/>
      <c r="BG10" s="100">
        <f t="shared" ref="BG10:BG14" si="23">SUM(BA10:BF10)</f>
        <v>0</v>
      </c>
      <c r="BH10" s="96"/>
      <c r="BI10" s="97"/>
      <c r="BJ10" s="98"/>
      <c r="BK10" s="98"/>
      <c r="BL10" s="98"/>
      <c r="BM10" s="98"/>
      <c r="BN10" s="99"/>
      <c r="BO10" s="99"/>
    </row>
    <row r="11" s="2" customFormat="1" ht="15.6" spans="1:67">
      <c r="A11" s="72">
        <v>202609</v>
      </c>
      <c r="B11" s="73"/>
      <c r="C11" s="74"/>
      <c r="D11" s="75"/>
      <c r="E11" s="76">
        <f t="shared" si="0"/>
        <v>0</v>
      </c>
      <c r="F11" s="77"/>
      <c r="G11" s="78"/>
      <c r="H11" s="79"/>
      <c r="I11" s="80"/>
      <c r="J11" s="81"/>
      <c r="K11" s="82">
        <f t="shared" si="6"/>
        <v>0</v>
      </c>
      <c r="L11" s="83">
        <f t="shared" si="7"/>
        <v>0</v>
      </c>
      <c r="M11" s="84">
        <f t="shared" si="8"/>
        <v>0</v>
      </c>
      <c r="N11" s="84">
        <f t="shared" si="9"/>
        <v>0</v>
      </c>
      <c r="O11" s="84">
        <f t="shared" si="10"/>
        <v>0</v>
      </c>
      <c r="P11" s="85">
        <f t="shared" si="11"/>
        <v>0</v>
      </c>
      <c r="Q11" s="85">
        <f t="shared" si="12"/>
        <v>0</v>
      </c>
      <c r="R11" s="85">
        <f t="shared" si="13"/>
        <v>0</v>
      </c>
      <c r="S11" s="85">
        <f t="shared" si="14"/>
        <v>0</v>
      </c>
      <c r="T11" s="85">
        <f t="shared" si="15"/>
        <v>0</v>
      </c>
      <c r="U11" s="86">
        <f t="shared" si="16"/>
        <v>0</v>
      </c>
      <c r="V11" s="87"/>
      <c r="W11" s="88"/>
      <c r="X11" s="89"/>
      <c r="Y11" s="90"/>
      <c r="Z11" s="91"/>
      <c r="AA11" s="76"/>
      <c r="AB11" s="76"/>
      <c r="AC11" s="76"/>
      <c r="AD11" s="76"/>
      <c r="AE11" s="92"/>
      <c r="AF11" s="76"/>
      <c r="AG11" s="93"/>
      <c r="AH11" s="93"/>
      <c r="AI11" s="93"/>
      <c r="AJ11" s="93"/>
      <c r="AK11" s="93"/>
      <c r="AL11" s="93"/>
      <c r="AM11" s="93"/>
      <c r="AN11" s="92"/>
      <c r="AO11" s="88"/>
      <c r="AP11" s="88"/>
      <c r="AQ11" s="88"/>
      <c r="AR11" s="92"/>
      <c r="AS11" s="94"/>
      <c r="AT11" s="94"/>
      <c r="AU11" s="94"/>
      <c r="AV11" s="100"/>
      <c r="AW11" s="94"/>
      <c r="AX11" s="94"/>
      <c r="AY11" s="94"/>
      <c r="AZ11" s="100"/>
      <c r="BA11" s="95"/>
      <c r="BB11" s="95"/>
      <c r="BC11" s="95"/>
      <c r="BD11" s="95"/>
      <c r="BE11" s="95"/>
      <c r="BF11" s="95"/>
      <c r="BG11" s="100">
        <f t="shared" si="23"/>
        <v>0</v>
      </c>
      <c r="BH11" s="96"/>
      <c r="BI11" s="97"/>
      <c r="BJ11" s="98"/>
      <c r="BK11" s="98"/>
      <c r="BL11" s="98"/>
      <c r="BM11" s="98"/>
      <c r="BN11" s="99"/>
      <c r="BO11" s="99"/>
    </row>
    <row r="12" s="2" customFormat="1" ht="15.6" spans="1:67">
      <c r="A12" s="72">
        <v>202610</v>
      </c>
      <c r="B12" s="101"/>
      <c r="C12" s="74"/>
      <c r="D12" s="75"/>
      <c r="E12" s="76">
        <f t="shared" si="0"/>
        <v>0</v>
      </c>
      <c r="F12" s="77"/>
      <c r="G12" s="78"/>
      <c r="H12" s="79"/>
      <c r="I12" s="80"/>
      <c r="J12" s="81"/>
      <c r="K12" s="82">
        <f t="shared" si="6"/>
        <v>0</v>
      </c>
      <c r="L12" s="83">
        <f t="shared" si="7"/>
        <v>0</v>
      </c>
      <c r="M12" s="84">
        <f t="shared" si="8"/>
        <v>0</v>
      </c>
      <c r="N12" s="84">
        <f t="shared" si="9"/>
        <v>0</v>
      </c>
      <c r="O12" s="84">
        <f t="shared" si="10"/>
        <v>0</v>
      </c>
      <c r="P12" s="85">
        <f t="shared" si="11"/>
        <v>0</v>
      </c>
      <c r="Q12" s="85">
        <f t="shared" si="12"/>
        <v>0</v>
      </c>
      <c r="R12" s="85">
        <f t="shared" si="13"/>
        <v>0</v>
      </c>
      <c r="S12" s="85">
        <f t="shared" si="14"/>
        <v>0</v>
      </c>
      <c r="T12" s="85">
        <f t="shared" si="15"/>
        <v>0</v>
      </c>
      <c r="U12" s="86">
        <f t="shared" si="16"/>
        <v>0</v>
      </c>
      <c r="V12" s="87"/>
      <c r="W12" s="88"/>
      <c r="X12" s="89"/>
      <c r="Y12" s="90"/>
      <c r="Z12" s="91"/>
      <c r="AA12" s="76"/>
      <c r="AB12" s="76"/>
      <c r="AC12" s="76"/>
      <c r="AD12" s="76"/>
      <c r="AE12" s="92"/>
      <c r="AF12" s="76"/>
      <c r="AG12" s="93"/>
      <c r="AH12" s="93"/>
      <c r="AI12" s="93"/>
      <c r="AJ12" s="93"/>
      <c r="AK12" s="93"/>
      <c r="AL12" s="93"/>
      <c r="AM12" s="93"/>
      <c r="AN12" s="92"/>
      <c r="AO12" s="88"/>
      <c r="AP12" s="88"/>
      <c r="AQ12" s="88"/>
      <c r="AR12" s="92"/>
      <c r="AS12" s="94"/>
      <c r="AT12" s="94"/>
      <c r="AU12" s="94"/>
      <c r="AV12" s="100"/>
      <c r="AW12" s="94"/>
      <c r="AX12" s="94"/>
      <c r="AY12" s="94"/>
      <c r="AZ12" s="100"/>
      <c r="BA12" s="95"/>
      <c r="BB12" s="95"/>
      <c r="BC12" s="95"/>
      <c r="BD12" s="95"/>
      <c r="BE12" s="95"/>
      <c r="BF12" s="95"/>
      <c r="BG12" s="100">
        <f t="shared" si="23"/>
        <v>0</v>
      </c>
      <c r="BH12" s="96"/>
      <c r="BI12" s="97"/>
      <c r="BJ12" s="98"/>
      <c r="BK12" s="98"/>
      <c r="BL12" s="98"/>
      <c r="BM12" s="98"/>
      <c r="BN12" s="99"/>
      <c r="BO12" s="99"/>
    </row>
    <row r="13" s="2" customFormat="1" ht="15.6" spans="1:67">
      <c r="A13" s="72">
        <v>202611</v>
      </c>
      <c r="B13" s="101"/>
      <c r="C13" s="74"/>
      <c r="D13" s="75"/>
      <c r="E13" s="76">
        <f t="shared" si="0"/>
        <v>0</v>
      </c>
      <c r="F13" s="77"/>
      <c r="G13" s="78"/>
      <c r="H13" s="79"/>
      <c r="I13" s="80"/>
      <c r="J13" s="81"/>
      <c r="K13" s="82">
        <f t="shared" si="6"/>
        <v>0</v>
      </c>
      <c r="L13" s="83">
        <f t="shared" si="7"/>
        <v>0</v>
      </c>
      <c r="M13" s="84">
        <f t="shared" si="8"/>
        <v>0</v>
      </c>
      <c r="N13" s="84">
        <f t="shared" si="9"/>
        <v>0</v>
      </c>
      <c r="O13" s="84">
        <f t="shared" si="10"/>
        <v>0</v>
      </c>
      <c r="P13" s="85">
        <f t="shared" si="11"/>
        <v>0</v>
      </c>
      <c r="Q13" s="85">
        <f t="shared" si="12"/>
        <v>0</v>
      </c>
      <c r="R13" s="85">
        <f t="shared" si="13"/>
        <v>0</v>
      </c>
      <c r="S13" s="85">
        <f t="shared" si="14"/>
        <v>0</v>
      </c>
      <c r="T13" s="85">
        <f t="shared" si="15"/>
        <v>0</v>
      </c>
      <c r="U13" s="86">
        <f t="shared" si="16"/>
        <v>0</v>
      </c>
      <c r="V13" s="87"/>
      <c r="W13" s="88"/>
      <c r="X13" s="89"/>
      <c r="Y13" s="90"/>
      <c r="Z13" s="91"/>
      <c r="AA13" s="76"/>
      <c r="AB13" s="76"/>
      <c r="AC13" s="76"/>
      <c r="AD13" s="76"/>
      <c r="AE13" s="92"/>
      <c r="AF13" s="76"/>
      <c r="AG13" s="93"/>
      <c r="AH13" s="93"/>
      <c r="AI13" s="93"/>
      <c r="AJ13" s="93"/>
      <c r="AK13" s="93"/>
      <c r="AL13" s="93"/>
      <c r="AM13" s="93"/>
      <c r="AN13" s="92"/>
      <c r="AO13" s="88"/>
      <c r="AP13" s="88"/>
      <c r="AQ13" s="88"/>
      <c r="AR13" s="92"/>
      <c r="AS13" s="94"/>
      <c r="AT13" s="94"/>
      <c r="AU13" s="94"/>
      <c r="AV13" s="100"/>
      <c r="AW13" s="94"/>
      <c r="AX13" s="94"/>
      <c r="AY13" s="94"/>
      <c r="AZ13" s="100"/>
      <c r="BA13" s="95"/>
      <c r="BB13" s="95"/>
      <c r="BC13" s="95"/>
      <c r="BD13" s="95"/>
      <c r="BE13" s="95"/>
      <c r="BF13" s="95"/>
      <c r="BG13" s="100">
        <f t="shared" si="23"/>
        <v>0</v>
      </c>
      <c r="BH13" s="96"/>
      <c r="BI13" s="97"/>
      <c r="BJ13" s="98"/>
      <c r="BK13" s="98"/>
      <c r="BL13" s="98"/>
      <c r="BM13" s="98"/>
      <c r="BN13" s="99"/>
      <c r="BO13" s="99"/>
    </row>
    <row r="14" s="3" customFormat="1" ht="15" spans="1:67">
      <c r="A14" s="72">
        <v>202612</v>
      </c>
      <c r="B14" s="102"/>
      <c r="C14" s="103"/>
      <c r="D14" s="104"/>
      <c r="E14" s="76">
        <f t="shared" si="0"/>
        <v>0</v>
      </c>
      <c r="F14" s="105"/>
      <c r="G14" s="106"/>
      <c r="H14" s="107"/>
      <c r="I14" s="108"/>
      <c r="J14" s="109"/>
      <c r="K14" s="82">
        <f t="shared" si="6"/>
        <v>0</v>
      </c>
      <c r="L14" s="83">
        <f t="shared" si="7"/>
        <v>0</v>
      </c>
      <c r="M14" s="84">
        <f t="shared" si="8"/>
        <v>0</v>
      </c>
      <c r="N14" s="84">
        <f t="shared" si="9"/>
        <v>0</v>
      </c>
      <c r="O14" s="84">
        <f t="shared" si="10"/>
        <v>0</v>
      </c>
      <c r="P14" s="85">
        <f t="shared" si="11"/>
        <v>0</v>
      </c>
      <c r="Q14" s="85">
        <f t="shared" si="12"/>
        <v>0</v>
      </c>
      <c r="R14" s="85">
        <f t="shared" si="13"/>
        <v>0</v>
      </c>
      <c r="S14" s="85">
        <f t="shared" si="14"/>
        <v>0</v>
      </c>
      <c r="T14" s="85">
        <f t="shared" si="15"/>
        <v>0</v>
      </c>
      <c r="U14" s="86">
        <f t="shared" si="16"/>
        <v>0</v>
      </c>
      <c r="V14" s="110"/>
      <c r="W14" s="111"/>
      <c r="X14" s="112"/>
      <c r="Y14" s="113"/>
      <c r="Z14" s="114"/>
      <c r="AA14" s="115"/>
      <c r="AB14" s="115"/>
      <c r="AC14" s="115"/>
      <c r="AD14" s="115"/>
      <c r="AE14" s="116"/>
      <c r="AF14" s="115"/>
      <c r="AG14" s="117"/>
      <c r="AH14" s="117"/>
      <c r="AI14" s="117"/>
      <c r="AJ14" s="117"/>
      <c r="AK14" s="117"/>
      <c r="AL14" s="117"/>
      <c r="AM14" s="117"/>
      <c r="AN14" s="116"/>
      <c r="AO14" s="111"/>
      <c r="AP14" s="111"/>
      <c r="AQ14" s="111"/>
      <c r="AR14" s="116"/>
      <c r="AS14" s="118"/>
      <c r="AT14" s="118"/>
      <c r="AU14" s="118"/>
      <c r="AV14" s="119"/>
      <c r="AW14" s="118"/>
      <c r="AX14" s="118"/>
      <c r="AY14" s="118"/>
      <c r="AZ14" s="119"/>
      <c r="BA14" s="95"/>
      <c r="BB14" s="95"/>
      <c r="BC14" s="95"/>
      <c r="BD14" s="95"/>
      <c r="BE14" s="95"/>
      <c r="BF14" s="95"/>
      <c r="BG14" s="119">
        <f t="shared" si="23"/>
        <v>0</v>
      </c>
      <c r="BH14" s="120"/>
      <c r="BI14" s="121"/>
      <c r="BJ14" s="122"/>
      <c r="BK14" s="123"/>
      <c r="BL14" s="122"/>
      <c r="BM14" s="122"/>
      <c r="BN14" s="124"/>
      <c r="BO14" s="124"/>
    </row>
    <row r="15" s="4" customFormat="1" ht="16.35" spans="1:67">
      <c r="A15" s="125" t="s">
        <v>68</v>
      </c>
      <c r="B15" s="126"/>
      <c r="C15" s="127"/>
      <c r="D15" s="128"/>
      <c r="E15" s="129">
        <f t="shared" ref="E15:J15" si="24">SUM(E3:E14)</f>
        <v>32326.95</v>
      </c>
      <c r="F15" s="130"/>
      <c r="G15" s="131">
        <f t="shared" si="24"/>
        <v>30414.95</v>
      </c>
      <c r="H15" s="132">
        <f t="shared" si="24"/>
        <v>131633</v>
      </c>
      <c r="I15" s="133">
        <f t="shared" si="24"/>
        <v>8000</v>
      </c>
      <c r="J15" s="134">
        <f t="shared" si="24"/>
        <v>-6088</v>
      </c>
      <c r="K15" s="135">
        <f t="shared" si="6"/>
        <v>101218.05</v>
      </c>
      <c r="L15" s="136">
        <f t="shared" ref="L15:BO15" si="25">SUM(L3:L14)</f>
        <v>41230</v>
      </c>
      <c r="M15" s="137">
        <f t="shared" si="25"/>
        <v>1826.31</v>
      </c>
      <c r="N15" s="137">
        <f t="shared" si="25"/>
        <v>27639.43</v>
      </c>
      <c r="O15" s="137">
        <f t="shared" si="25"/>
        <v>0</v>
      </c>
      <c r="P15" s="138">
        <f t="shared" si="25"/>
        <v>16646.2</v>
      </c>
      <c r="Q15" s="138">
        <f t="shared" si="25"/>
        <v>9726.59</v>
      </c>
      <c r="R15" s="138">
        <f t="shared" si="25"/>
        <v>2513.38</v>
      </c>
      <c r="S15" s="138">
        <f t="shared" si="25"/>
        <v>0</v>
      </c>
      <c r="T15" s="138">
        <f t="shared" si="25"/>
        <v>1636.14</v>
      </c>
      <c r="U15" s="139">
        <f t="shared" si="25"/>
        <v>30522.31</v>
      </c>
      <c r="V15" s="140">
        <f t="shared" si="25"/>
        <v>110000</v>
      </c>
      <c r="W15" s="141">
        <f t="shared" si="25"/>
        <v>21633</v>
      </c>
      <c r="X15" s="142">
        <f t="shared" si="25"/>
        <v>0</v>
      </c>
      <c r="Y15" s="143">
        <f t="shared" si="25"/>
        <v>41230</v>
      </c>
      <c r="Z15" s="144">
        <f t="shared" si="25"/>
        <v>1826.31</v>
      </c>
      <c r="AA15" s="145">
        <f t="shared" si="25"/>
        <v>23200</v>
      </c>
      <c r="AB15" s="146">
        <f t="shared" si="25"/>
        <v>1594.63</v>
      </c>
      <c r="AC15" s="147">
        <f t="shared" si="25"/>
        <v>2716.8</v>
      </c>
      <c r="AD15" s="147">
        <f t="shared" si="25"/>
        <v>128</v>
      </c>
      <c r="AE15" s="148">
        <f t="shared" si="25"/>
        <v>27639.43</v>
      </c>
      <c r="AF15" s="147">
        <f t="shared" si="25"/>
        <v>0</v>
      </c>
      <c r="AG15" s="149">
        <f t="shared" si="25"/>
        <v>2978.7</v>
      </c>
      <c r="AH15" s="150">
        <f t="shared" si="25"/>
        <v>5020</v>
      </c>
      <c r="AI15" s="149">
        <f t="shared" si="25"/>
        <v>9</v>
      </c>
      <c r="AJ15" s="149">
        <f t="shared" si="25"/>
        <v>4935.43</v>
      </c>
      <c r="AK15" s="150">
        <f t="shared" si="25"/>
        <v>314.8</v>
      </c>
      <c r="AL15" s="151">
        <f t="shared" si="25"/>
        <v>2020.27</v>
      </c>
      <c r="AM15" s="149">
        <f t="shared" si="25"/>
        <v>1368</v>
      </c>
      <c r="AN15" s="148">
        <f t="shared" si="25"/>
        <v>16646.2</v>
      </c>
      <c r="AO15" s="152">
        <f t="shared" si="25"/>
        <v>1908.56</v>
      </c>
      <c r="AP15" s="152">
        <f t="shared" si="25"/>
        <v>7818.03</v>
      </c>
      <c r="AQ15" s="153">
        <f t="shared" si="25"/>
        <v>0</v>
      </c>
      <c r="AR15" s="148">
        <f t="shared" si="25"/>
        <v>9726.59</v>
      </c>
      <c r="AS15" s="154">
        <f t="shared" si="25"/>
        <v>473.69</v>
      </c>
      <c r="AT15" s="155">
        <f t="shared" si="25"/>
        <v>106.9</v>
      </c>
      <c r="AU15" s="154">
        <f t="shared" si="25"/>
        <v>1932.79</v>
      </c>
      <c r="AV15" s="148">
        <f t="shared" si="25"/>
        <v>2513.38</v>
      </c>
      <c r="AW15" s="154">
        <f t="shared" si="25"/>
        <v>0</v>
      </c>
      <c r="AX15" s="155">
        <f t="shared" si="25"/>
        <v>0</v>
      </c>
      <c r="AY15" s="154">
        <f t="shared" si="25"/>
        <v>0</v>
      </c>
      <c r="AZ15" s="148">
        <f t="shared" si="25"/>
        <v>0</v>
      </c>
      <c r="BA15" s="156">
        <f t="shared" si="25"/>
        <v>1636.14</v>
      </c>
      <c r="BB15" s="156">
        <f t="shared" si="25"/>
        <v>0</v>
      </c>
      <c r="BC15" s="156">
        <f t="shared" si="25"/>
        <v>0</v>
      </c>
      <c r="BD15" s="156">
        <f t="shared" si="25"/>
        <v>0</v>
      </c>
      <c r="BE15" s="156">
        <f t="shared" si="25"/>
        <v>0</v>
      </c>
      <c r="BF15" s="156">
        <f t="shared" si="25"/>
        <v>0</v>
      </c>
      <c r="BG15" s="148">
        <f t="shared" si="25"/>
        <v>1636.14</v>
      </c>
      <c r="BH15" s="157">
        <f t="shared" si="25"/>
        <v>0</v>
      </c>
      <c r="BI15" s="158">
        <f t="shared" si="25"/>
        <v>8000</v>
      </c>
      <c r="BJ15" s="159">
        <f t="shared" si="25"/>
        <v>0</v>
      </c>
      <c r="BK15" s="159">
        <f t="shared" si="25"/>
        <v>5965</v>
      </c>
      <c r="BL15" s="159">
        <f t="shared" si="25"/>
        <v>0</v>
      </c>
      <c r="BM15" s="159">
        <f t="shared" si="25"/>
        <v>123</v>
      </c>
      <c r="BN15" s="160">
        <f t="shared" si="25"/>
        <v>0</v>
      </c>
      <c r="BO15" s="160">
        <f t="shared" si="25"/>
        <v>0</v>
      </c>
    </row>
    <row r="16" s="3" customFormat="1" ht="15.15" spans="1:67">
      <c r="D16" s="161" t="s">
        <v>69</v>
      </c>
      <c r="E16" s="162" cm="1">
        <f t="array" ref="E16">LOOKUP(2,1/(F3:F14&lt;&gt;""),F3:F14)-LOOKUP(2,1/(D3:D14&lt;&gt;""),D3:D14)</f>
        <v>0</v>
      </c>
      <c r="F16" s="163"/>
      <c r="J16" s="161" t="s">
        <v>70</v>
      </c>
      <c r="K16" s="162">
        <f>SUM(L15:T15)-K15+U15-SUM(P15:T15)</f>
        <v>0</v>
      </c>
      <c r="U16" s="3">
        <f>SUM(P15:T15)-U15</f>
        <v>0</v>
      </c>
      <c r="BK16" s="5"/>
    </row>
  </sheetData>
  <mergeCells count="24">
    <mergeCell ref="K1:U1"/>
    <mergeCell ref="V1:X1"/>
    <mergeCell ref="AA1:AE1"/>
    <mergeCell ref="AG1:AN1"/>
    <mergeCell ref="AO1:AR1"/>
    <mergeCell ref="AS1:AV1"/>
    <mergeCell ref="AW1:AZ1"/>
    <mergeCell ref="BA1:BG1"/>
    <mergeCell ref="BH1:BI1"/>
    <mergeCell ref="BJ1:BM1"/>
    <mergeCell ref="BN1:BO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Y1:Y2"/>
    <mergeCell ref="Z1:Z2"/>
    <mergeCell ref="AF1:AF2"/>
  </mergeCells>
  <conditionalFormatting sqref="H1:T1">
    <cfRule type="cellIs" dxfId="0" priority="27" operator="equal">
      <formula>0</formula>
    </cfRule>
  </conditionalFormatting>
  <conditionalFormatting sqref="D15:K15">
    <cfRule type="cellIs" dxfId="0" priority="21" operator="equal">
      <formula>0</formula>
    </cfRule>
  </conditionalFormatting>
  <conditionalFormatting sqref="L15:U15">
    <cfRule type="cellIs" dxfId="0" priority="1" operator="equal">
      <formula>0</formula>
    </cfRule>
  </conditionalFormatting>
  <conditionalFormatting sqref="Z15:AA15">
    <cfRule type="cellIs" dxfId="0" priority="16" operator="equal">
      <formula>0</formula>
    </cfRule>
  </conditionalFormatting>
  <conditionalFormatting sqref="AM15:AP15">
    <cfRule type="cellIs" dxfId="0" priority="18" operator="equal">
      <formula>0</formula>
    </cfRule>
  </conditionalFormatting>
  <conditionalFormatting sqref="AR15:AS15">
    <cfRule type="cellIs" dxfId="0" priority="17" operator="equal">
      <formula>0</formula>
    </cfRule>
  </conditionalFormatting>
  <conditionalFormatting sqref="AU15:AV15">
    <cfRule type="cellIs" dxfId="0" priority="19" operator="equal">
      <formula>0</formula>
    </cfRule>
  </conditionalFormatting>
  <conditionalFormatting sqref="AW15">
    <cfRule type="cellIs" dxfId="0" priority="5" operator="equal">
      <formula>0</formula>
    </cfRule>
  </conditionalFormatting>
  <conditionalFormatting sqref="AY15:AZ15">
    <cfRule type="cellIs" dxfId="0" priority="6" operator="equal">
      <formula>0</formula>
    </cfRule>
  </conditionalFormatting>
  <conditionalFormatting sqref="BG15">
    <cfRule type="cellIs" dxfId="0" priority="3" operator="equal">
      <formula>0</formula>
    </cfRule>
  </conditionalFormatting>
  <conditionalFormatting sqref="AZ3:AZ13">
    <cfRule type="cellIs" dxfId="0" priority="8" operator="equal">
      <formula>0</formula>
    </cfRule>
  </conditionalFormatting>
  <conditionalFormatting sqref="BG3:BG13">
    <cfRule type="cellIs" dxfId="0" priority="4" operator="equal">
      <formula>0</formula>
    </cfRule>
  </conditionalFormatting>
  <conditionalFormatting sqref="A3:K3 V3:AM3 E4:K7 V4:AM7 E8:K8 V8:AM8 E9:K9 V9:AM9 E10:E14 K10:K14">
    <cfRule type="cellIs" dxfId="0" priority="26" operator="equal">
      <formula>0</formula>
    </cfRule>
  </conditionalFormatting>
  <conditionalFormatting sqref="L3:U14">
    <cfRule type="cellIs" dxfId="0" priority="2" operator="equal">
      <formula>0</formula>
    </cfRule>
  </conditionalFormatting>
  <conditionalFormatting sqref="AN3:AV7 BH3:BO7 AN8:AV8 BH8:BO8 AN9:AV9 BH9:BO9 AN10:AV13 BH10:BO13">
    <cfRule type="cellIs" dxfId="0" priority="24" operator="equal">
      <formula>0</formula>
    </cfRule>
  </conditionalFormatting>
  <conditionalFormatting sqref="AW3:AY13">
    <cfRule type="cellIs" dxfId="0" priority="7" operator="equal">
      <formula>0</formula>
    </cfRule>
  </conditionalFormatting>
  <conditionalFormatting sqref="A4:A15 AE15">
    <cfRule type="cellIs" dxfId="0" priority="22" operator="equal">
      <formula>0</formula>
    </cfRule>
  </conditionalFormatting>
  <conditionalFormatting sqref="B4:D13">
    <cfRule type="cellIs" dxfId="0" priority="23" operator="equal">
      <formula>0</formula>
    </cfRule>
  </conditionalFormatting>
  <conditionalFormatting sqref="F10:J13 V10:AM13">
    <cfRule type="cellIs" dxfId="0" priority="25" operator="equal">
      <formula>0</formula>
    </cfRule>
  </conditionalFormatting>
  <conditionalFormatting sqref="BA10:BC12 BA13:BA14">
    <cfRule type="cellIs" dxfId="0" priority="15" operator="equal">
      <formula>0</formula>
    </cfRule>
  </conditionalFormatting>
  <conditionalFormatting sqref="AG15 AI15:AJ15">
    <cfRule type="cellIs" dxfId="0" priority="20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Kobe Stefanie</cp:lastModifiedBy>
  <dcterms:created xsi:type="dcterms:W3CDTF">2026-07-03T08:44:52Z</dcterms:created>
  <dcterms:modified xsi:type="dcterms:W3CDTF">2026-07-03T08:46:06Z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C48695ED90CF4A3BAD981D4B6E79A3D8_11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