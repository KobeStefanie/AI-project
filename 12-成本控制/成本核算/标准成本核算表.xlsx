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成本目标" sheetId="1" state="visible" r:id="rId1"/>
    <sheet xmlns:r="http://schemas.openxmlformats.org/officeDocument/2006/relationships" name="标准成本卡(A001)" sheetId="2" state="visible" r:id="rId2"/>
    <sheet xmlns:r="http://schemas.openxmlformats.org/officeDocument/2006/relationships" name="月度差异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color rgb="00888888"/>
      <sz val="10"/>
    </font>
    <font>
      <name val="微软雅黑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FC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9" fontId="0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 ht="32" customHeight="1">
      <c r="A1" s="1" t="inlineStr">
        <is>
          <t>T恤产品标准成本目标一览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代码</t>
        </is>
      </c>
      <c r="B2" s="4" t="inlineStr">
        <is>
          <t>产品名称</t>
        </is>
      </c>
      <c r="C2" s="4" t="inlineStr">
        <is>
          <t>售价(元)</t>
        </is>
      </c>
      <c r="D2" s="4" t="inlineStr">
        <is>
          <t>目标毛利率</t>
        </is>
      </c>
      <c r="E2" s="4" t="inlineStr">
        <is>
          <t>目标成本</t>
        </is>
      </c>
      <c r="F2" s="4" t="inlineStr">
        <is>
          <t>实际成本</t>
        </is>
      </c>
      <c r="G2" s="4" t="inlineStr">
        <is>
          <t>状态</t>
        </is>
      </c>
    </row>
    <row r="3" ht="22" customHeight="1">
      <c r="A3" s="5" t="inlineStr">
        <is>
          <t>A001</t>
        </is>
      </c>
      <c r="B3" s="6" t="inlineStr">
        <is>
          <t>基础款白色圆领</t>
        </is>
      </c>
      <c r="C3" s="7" t="n">
        <v>45</v>
      </c>
      <c r="D3" s="7" t="inlineStr">
        <is>
          <t>35%</t>
        </is>
      </c>
      <c r="E3" s="8" t="inlineStr">
        <is>
          <t>（见成本卡）</t>
        </is>
      </c>
      <c r="F3" s="7" t="inlineStr"/>
      <c r="G3" s="9">
        <f>IF(F3="","待录入",IF(F3&lt;=C3*(1-0.35),"✅达标","❌超支"))</f>
        <v/>
      </c>
    </row>
    <row r="4" ht="22" customHeight="1">
      <c r="A4" s="5" t="inlineStr">
        <is>
          <t>A002</t>
        </is>
      </c>
      <c r="B4" s="6" t="inlineStr">
        <is>
          <t>基础款彩色圆领</t>
        </is>
      </c>
      <c r="C4" s="7" t="n">
        <v>52</v>
      </c>
      <c r="D4" s="7" t="inlineStr">
        <is>
          <t>35%</t>
        </is>
      </c>
      <c r="E4" s="8" t="inlineStr">
        <is>
          <t>（见成本卡）</t>
        </is>
      </c>
      <c r="F4" s="7" t="inlineStr"/>
      <c r="G4" s="9">
        <f>IF(F4="","待录入",IF(F4&lt;=C4*(1-0.35),"✅达标","❌超支"))</f>
        <v/>
      </c>
    </row>
    <row r="5" ht="22" customHeight="1">
      <c r="A5" s="5" t="inlineStr">
        <is>
          <t>B001</t>
        </is>
      </c>
      <c r="B5" s="6" t="inlineStr">
        <is>
          <t>加重款(180g+)</t>
        </is>
      </c>
      <c r="C5" s="7" t="n">
        <v>68</v>
      </c>
      <c r="D5" s="7" t="inlineStr">
        <is>
          <t>38%</t>
        </is>
      </c>
      <c r="E5" s="8" t="inlineStr">
        <is>
          <t>（见成本卡）</t>
        </is>
      </c>
      <c r="F5" s="7" t="inlineStr"/>
      <c r="G5" s="9">
        <f>IF(F5="","待录入",IF(F5&lt;=C5*(1-0.35),"✅达标","❌超支"))</f>
        <v/>
      </c>
    </row>
    <row r="6" ht="22" customHeight="1">
      <c r="A6" s="5" t="inlineStr">
        <is>
          <t>B002</t>
        </is>
      </c>
      <c r="B6" s="6" t="inlineStr">
        <is>
          <t>Polo衫</t>
        </is>
      </c>
      <c r="C6" s="7" t="n">
        <v>85</v>
      </c>
      <c r="D6" s="7" t="inlineStr">
        <is>
          <t>40%</t>
        </is>
      </c>
      <c r="E6" s="8" t="inlineStr">
        <is>
          <t>（见成本卡）</t>
        </is>
      </c>
      <c r="F6" s="7" t="inlineStr"/>
      <c r="G6" s="9">
        <f>IF(F6="","待录入",IF(F6&lt;=C6*(1-0.35),"✅达标","❌超支"))</f>
        <v/>
      </c>
    </row>
    <row r="7" ht="22" customHeight="1">
      <c r="A7" s="5" t="inlineStr">
        <is>
          <t>C001</t>
        </is>
      </c>
      <c r="B7" s="6" t="inlineStr">
        <is>
          <t>定制印花款</t>
        </is>
      </c>
      <c r="C7" s="7" t="n">
        <v>95</v>
      </c>
      <c r="D7" s="7" t="inlineStr">
        <is>
          <t>42%</t>
        </is>
      </c>
      <c r="E7" s="8" t="inlineStr">
        <is>
          <t>（见成本卡）</t>
        </is>
      </c>
      <c r="F7" s="7" t="inlineStr"/>
      <c r="G7" s="9">
        <f>IF(F7="","待录入",IF(F7&lt;=C7*(1-0.35),"✅达标","❌超支"))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 ht="32" customHeight="1">
      <c r="A1" s="1" t="inlineStr">
        <is>
          <t>单品标准成本卡 — A001基础款白色圆领T恤</t>
        </is>
      </c>
      <c r="B1" s="2" t="n"/>
      <c r="C1" s="2" t="n"/>
      <c r="D1" s="2" t="n"/>
      <c r="E1" s="3" t="n"/>
    </row>
    <row r="2">
      <c r="A2" s="4" t="inlineStr">
        <is>
          <t>成本类别</t>
        </is>
      </c>
      <c r="B2" s="4" t="inlineStr">
        <is>
          <t>项目明细</t>
        </is>
      </c>
      <c r="C2" s="4" t="inlineStr">
        <is>
          <t>标准用量</t>
        </is>
      </c>
      <c r="D2" s="4" t="inlineStr">
        <is>
          <t>单价/费率</t>
        </is>
      </c>
      <c r="E2" s="4" t="inlineStr">
        <is>
          <t>标准成本(元)</t>
        </is>
      </c>
    </row>
    <row r="3" ht="22" customHeight="1">
      <c r="A3" s="10" t="inlineStr">
        <is>
          <t>直接材料</t>
        </is>
      </c>
      <c r="B3" s="6" t="inlineStr">
        <is>
          <t>面料(180g棉布)</t>
        </is>
      </c>
      <c r="C3" s="7" t="inlineStr">
        <is>
          <t>200g/件</t>
        </is>
      </c>
      <c r="D3" s="7" t="inlineStr">
        <is>
          <t>30元/kg</t>
        </is>
      </c>
      <c r="E3" s="7" t="n">
        <v>6</v>
      </c>
    </row>
    <row r="4" ht="22" customHeight="1">
      <c r="A4" s="5" t="inlineStr"/>
      <c r="B4" s="6" t="inlineStr">
        <is>
          <t>辅料(线+标签)</t>
        </is>
      </c>
      <c r="C4" s="7" t="inlineStr">
        <is>
          <t>—</t>
        </is>
      </c>
      <c r="D4" s="7" t="inlineStr">
        <is>
          <t>—</t>
        </is>
      </c>
      <c r="E4" s="7" t="n">
        <v>1.5</v>
      </c>
    </row>
    <row r="5" ht="22" customHeight="1">
      <c r="A5" s="5" t="inlineStr"/>
      <c r="B5" s="6" t="inlineStr">
        <is>
          <t>包装(袋+吊牌)</t>
        </is>
      </c>
      <c r="C5" s="7" t="inlineStr">
        <is>
          <t>—</t>
        </is>
      </c>
      <c r="D5" s="7" t="inlineStr">
        <is>
          <t>—</t>
        </is>
      </c>
      <c r="E5" s="7" t="n">
        <v>0.8</v>
      </c>
    </row>
    <row r="6" ht="22" customHeight="1">
      <c r="A6" s="10" t="inlineStr">
        <is>
          <t>直接人工</t>
        </is>
      </c>
      <c r="B6" s="6" t="inlineStr">
        <is>
          <t>裁剪(计件)</t>
        </is>
      </c>
      <c r="C6" s="7" t="inlineStr">
        <is>
          <t>3分钟/件</t>
        </is>
      </c>
      <c r="D6" s="7" t="inlineStr">
        <is>
          <t>0.5元/分钟</t>
        </is>
      </c>
      <c r="E6" s="7" t="n">
        <v>1.5</v>
      </c>
    </row>
    <row r="7" ht="22" customHeight="1">
      <c r="A7" s="5" t="inlineStr"/>
      <c r="B7" s="6" t="inlineStr">
        <is>
          <t>缝纫(计件)</t>
        </is>
      </c>
      <c r="C7" s="7" t="inlineStr">
        <is>
          <t>8分钟/件</t>
        </is>
      </c>
      <c r="D7" s="7" t="inlineStr">
        <is>
          <t>0.5元/分钟</t>
        </is>
      </c>
      <c r="E7" s="7" t="n">
        <v>4</v>
      </c>
    </row>
    <row r="8" ht="22" customHeight="1">
      <c r="A8" s="5" t="inlineStr"/>
      <c r="B8" s="6" t="inlineStr">
        <is>
          <t>整烫包装</t>
        </is>
      </c>
      <c r="C8" s="7" t="inlineStr">
        <is>
          <t>2分钟/件</t>
        </is>
      </c>
      <c r="D8" s="7" t="inlineStr">
        <is>
          <t>0.5元/分钟</t>
        </is>
      </c>
      <c r="E8" s="7" t="n">
        <v>1</v>
      </c>
    </row>
    <row r="9" ht="22" customHeight="1">
      <c r="A9" s="10" t="inlineStr">
        <is>
          <t>制造费用</t>
        </is>
      </c>
      <c r="B9" s="6" t="inlineStr">
        <is>
          <t>设备折旧分摊</t>
        </is>
      </c>
      <c r="C9" s="7" t="inlineStr">
        <is>
          <t>—</t>
        </is>
      </c>
      <c r="D9" s="7" t="inlineStr">
        <is>
          <t>—</t>
        </is>
      </c>
      <c r="E9" s="7" t="n">
        <v>1.2</v>
      </c>
    </row>
    <row r="10" ht="22" customHeight="1">
      <c r="A10" s="5" t="inlineStr"/>
      <c r="B10" s="6" t="inlineStr">
        <is>
          <t>水电费分摊</t>
        </is>
      </c>
      <c r="C10" s="7" t="inlineStr">
        <is>
          <t>—</t>
        </is>
      </c>
      <c r="D10" s="7" t="inlineStr">
        <is>
          <t>—</t>
        </is>
      </c>
      <c r="E10" s="7" t="n">
        <v>0.5</v>
      </c>
    </row>
    <row r="11" ht="22" customHeight="1">
      <c r="A11" s="5" t="inlineStr"/>
      <c r="B11" s="6" t="inlineStr">
        <is>
          <t>工厂管理费</t>
        </is>
      </c>
      <c r="C11" s="7" t="inlineStr">
        <is>
          <t>—</t>
        </is>
      </c>
      <c r="D11" s="7" t="inlineStr">
        <is>
          <t>—</t>
        </is>
      </c>
      <c r="E11" s="7" t="n">
        <v>0.8</v>
      </c>
    </row>
    <row r="12" ht="26" customHeight="1">
      <c r="A12" s="1" t="inlineStr">
        <is>
          <t>标准总成本</t>
        </is>
      </c>
      <c r="B12" s="2" t="n"/>
      <c r="C12" s="2" t="n"/>
      <c r="D12" s="3" t="n"/>
      <c r="E12" s="11">
        <f>SUM(E3:E11)</f>
        <v/>
      </c>
    </row>
  </sheetData>
  <mergeCells count="2">
    <mergeCell ref="A12:D1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 ht="32" customHeight="1">
      <c r="A1" s="1" t="inlineStr">
        <is>
          <t>月度成本差异分析（录入实际成本后自动计算）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代码</t>
        </is>
      </c>
      <c r="B2" s="4" t="inlineStr">
        <is>
          <t>产品名称</t>
        </is>
      </c>
      <c r="C2" s="4" t="inlineStr">
        <is>
          <t>产量(件)</t>
        </is>
      </c>
      <c r="D2" s="4" t="inlineStr">
        <is>
          <t>标准单位成本</t>
        </is>
      </c>
      <c r="E2" s="4" t="inlineStr">
        <is>
          <t>标准总成本</t>
        </is>
      </c>
      <c r="F2" s="4" t="inlineStr">
        <is>
          <t>实际总成本</t>
        </is>
      </c>
      <c r="G2" s="4" t="inlineStr">
        <is>
          <t>差异(元)</t>
        </is>
      </c>
      <c r="H2" s="4" t="inlineStr">
        <is>
          <t>差异率</t>
        </is>
      </c>
      <c r="I2" s="4" t="inlineStr">
        <is>
          <t>结论</t>
        </is>
      </c>
    </row>
    <row r="3" ht="22" customHeight="1">
      <c r="A3" s="5" t="inlineStr">
        <is>
          <t>A001</t>
        </is>
      </c>
      <c r="B3" s="6" t="inlineStr">
        <is>
          <t>基础款白色</t>
        </is>
      </c>
      <c r="C3" s="7" t="inlineStr"/>
      <c r="D3" s="7" t="inlineStr"/>
      <c r="E3" s="11">
        <f>IF(C3*D3=0,"",C3*D3)</f>
        <v/>
      </c>
      <c r="F3" s="7" t="inlineStr"/>
      <c r="G3" s="11">
        <f>IF(OR(E3="",F3=""),"",F3-E3)</f>
        <v/>
      </c>
      <c r="H3" s="12">
        <f>IF(E3=0,"",ROUND(G3/E3*100,1))</f>
        <v/>
      </c>
      <c r="I3" s="9">
        <f>IF(H3="","待录入",IF(H3&gt;5,"❌超支需分析",IF(H3&gt;0,"⚠️轻微超支",IF(H3&gt;-5,"✅正常","💰成本节约"))))</f>
        <v/>
      </c>
    </row>
    <row r="4" ht="22" customHeight="1">
      <c r="A4" s="5" t="inlineStr">
        <is>
          <t>A002</t>
        </is>
      </c>
      <c r="B4" s="6" t="inlineStr">
        <is>
          <t>基础款彩色</t>
        </is>
      </c>
      <c r="C4" s="7" t="inlineStr"/>
      <c r="D4" s="7" t="inlineStr"/>
      <c r="E4" s="11">
        <f>IF(C4*D4=0,"",C4*D4)</f>
        <v/>
      </c>
      <c r="F4" s="7" t="inlineStr"/>
      <c r="G4" s="11">
        <f>IF(OR(E4="",F4=""),"",F4-E4)</f>
        <v/>
      </c>
      <c r="H4" s="12">
        <f>IF(E4=0,"",ROUND(G4/E4*100,1))</f>
        <v/>
      </c>
      <c r="I4" s="9">
        <f>IF(H4="","待录入",IF(H4&gt;5,"❌超支需分析",IF(H4&gt;0,"⚠️轻微超支",IF(H4&gt;-5,"✅正常","💰成本节约"))))</f>
        <v/>
      </c>
    </row>
    <row r="5" ht="22" customHeight="1">
      <c r="A5" s="5" t="inlineStr">
        <is>
          <t>B001</t>
        </is>
      </c>
      <c r="B5" s="6" t="inlineStr">
        <is>
          <t>加重款</t>
        </is>
      </c>
      <c r="C5" s="7" t="inlineStr"/>
      <c r="D5" s="7" t="inlineStr"/>
      <c r="E5" s="11">
        <f>IF(C5*D5=0,"",C5*D5)</f>
        <v/>
      </c>
      <c r="F5" s="7" t="inlineStr"/>
      <c r="G5" s="11">
        <f>IF(OR(E5="",F5=""),"",F5-E5)</f>
        <v/>
      </c>
      <c r="H5" s="12">
        <f>IF(E5=0,"",ROUND(G5/E5*100,1))</f>
        <v/>
      </c>
      <c r="I5" s="9">
        <f>IF(H5="","待录入",IF(H5&gt;5,"❌超支需分析",IF(H5&gt;0,"⚠️轻微超支",IF(H5&gt;-5,"✅正常","💰成本节约"))))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2026-08-08T05:16:13Z</dcterms:created>
  <dcterms:modified xmlns:dcterms="http://purl.org/dc/terms/" xmlns:xsi="http://www.w3.org/2001/XMLSchema-instance" xsi:type="dcterms:W3CDTF">2026-08-08T05:16:13Z</dcterms:modified>
</cp:coreProperties>
</file>