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项目\12-成本控制\织造部成本核算\"/>
    </mc:Choice>
  </mc:AlternateContent>
  <bookViews>
    <workbookView windowWidth="22188" windowHeight="9060" activeTab="3"/>
  </bookViews>
  <sheets>
    <sheet name="原料采购价格表" sheetId="1" r:id="rId1"/>
    <sheet name="品种BOM与标准成本" sheetId="2" r:id="rId2"/>
    <sheet name="订单实际成本归集" sheetId="3" r:id="rId3"/>
    <sheet name="月度成本差异分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<sst xmlns="http://schemas.openxmlformats.org/spreadsheetml/2006/main" count="102" uniqueCount="71">
  <si>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织造部原料采购价格表</t>
  </si>
  <si>
    <t>说明：黄色单元格为输入区，请填入实际采购价格</t>
  </si>
  <si>
    <t>序号</t>
  </si>
  <si>
    <t>原料类别</t>
  </si>
  <si>
    <t>纱支规格</t>
  </si>
  <si>
    <t>采购单价(元/kg)</t>
  </si>
  <si>
    <t>供应商</t>
  </si>
  <si>
    <t>备注</t>
  </si>
  <si>
    <t>棉纱</t>
  </si>
  <si>
    <t>20S</t>
  </si>
  <si>
    <t/>
  </si>
  <si>
    <t>待填</t>
  </si>
  <si>
    <t>粗支纱</t>
  </si>
  <si>
    <t>30S</t>
  </si>
  <si>
    <t>常规T恤用纱</t>
  </si>
  <si>
    <t>40S</t>
  </si>
  <si>
    <t>高档面料用纱</t>
  </si>
  <si>
    <t>涤纶</t>
  </si>
  <si>
    <t>75D/36F</t>
  </si>
  <si>
    <t>标准涤纶丝</t>
  </si>
  <si>
    <t>75D/72F</t>
  </si>
  <si>
    <t>细旦涤纶,手感好</t>
  </si>
  <si>
    <t>氨纶</t>
  </si>
  <si>
    <t>20D</t>
  </si>
  <si>
    <t>轻薄面料用</t>
  </si>
  <si>
    <t>30D</t>
  </si>
  <si>
    <t>常规弹力面料</t>
  </si>
  <si>
    <t>40D</t>
  </si>
  <si>
    <t>运动/瑜伽面料</t>
  </si>
  <si>
    <t>品种BOM与标准成本卡</t>
  </si>
  <si>
    <t>说明：黄色=手工输入，绿色=自动计算。成布率=成品入库kg÷领料kg</t>
  </si>
  <si>
    <t>品种编码</t>
  </si>
  <si>
    <t>品种名称</t>
  </si>
  <si>
    <t>纱支信息</t>
  </si>
  <si>
    <t>原料1-纱支</t>
  </si>
  <si>
    <t>配比%</t>
  </si>
  <si>
    <t>单价</t>
  </si>
  <si>
    <t>投入kg</t>
  </si>
  <si>
    <t>金额</t>
  </si>
  <si>
    <t>原料2-纱支</t>
  </si>
  <si>
    <t>P001</t>
  </si>
  <si>
    <t>40S/1棉+30D氨纶平纹布</t>
  </si>
  <si>
    <t>40S棉+30D</t>
  </si>
  <si>
    <t>40S棉纱</t>
  </si>
  <si>
    <t>30D氨纶</t>
  </si>
  <si>
    <t>订单实际成本归集表（月度）</t>
  </si>
  <si>
    <t>说明：黄色=实际数据录入，绿色=自动计算。用于月底倒算实际成本</t>
  </si>
  <si>
    <t>订单号</t>
  </si>
  <si>
    <t>计划产量kg</t>
  </si>
  <si>
    <t>实际入库kg</t>
  </si>
  <si>
    <t>实际领料kg</t>
  </si>
  <si>
    <t>标准成本/kg</t>
  </si>
  <si>
    <t>实际材料成本</t>
  </si>
  <si>
    <t>实际人工成本</t>
  </si>
  <si>
    <t>实际制造费用</t>
  </si>
  <si>
    <t>实际总成本</t>
  </si>
  <si>
    <t>实际单位成本/kg</t>
  </si>
  <si>
    <t>报价单价/kg</t>
  </si>
  <si>
    <t>实际毛利率%</t>
  </si>
  <si>
    <t>差异分析</t>
  </si>
  <si>
    <t>S260813005</t>
  </si>
  <si>
    <t>40S/1棉+30D氨纶</t>
  </si>
  <si>
    <t>品种横向对比 - 成本差异分析</t>
  </si>
  <si>
    <t>说明：自动从订单表汇总，横向对比各品种的盈利能力</t>
  </si>
  <si>
    <t>订单数量</t>
  </si>
  <si>
    <t>总产量kg</t>
  </si>
  <si>
    <t>实际成本/kg</t>
  </si>
  <si>
    <t>成本差异</t>
  </si>
  <si>
    <t>平均报价/kg</t>
  </si>
  <si>
    <t>标准毛利率%</t>
  </si>
  <si>
    <t>评价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</si>
</sst>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i/>
      <sz val="9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177" fontId="4" fillId="3" borderId="1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2" sqref="F12"/>
    </sheetView>
  </sheetViews>
  <sheetFormatPr defaultColWidth="9" defaultRowHeight="14.4" outlineLevelCol="5"/>
  <cols>
    <col min="1" max="1" width="8" customWidth="1"/>
    <col min="2" max="2" width="12" customWidth="1"/>
    <col min="3" max="3" width="15" customWidth="1"/>
    <col min="4" max="4" width="18" customWidth="1"/>
    <col min="5" max="5" width="15" customWidth="1"/>
    <col min="6" max="6" width="25" customWidth="1"/>
  </cols>
  <sheetData>
    <row r="1" ht="25" customHeight="1" spans="1:6">
      <c r="A1" s="1" t="s">
        <v>0</v>
      </c>
    </row>
    <row r="2" spans="1:6">
      <c r="A2" s="2" t="s">
        <v>1</v>
      </c>
    </row>
    <row r="4" ht="30" customHeight="1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5" spans="1:6">
      <c r="A5" s="4">
        <v>1</v>
      </c>
      <c r="B5" s="13" t="s">
        <v>8</v>
      </c>
      <c r="C5" s="13" t="s">
        <v>9</v>
      </c>
      <c r="D5" s="14" t="s">
        <v>10</v>
      </c>
      <c r="E5" s="13" t="s">
        <v>11</v>
      </c>
      <c r="F5" s="13" t="s">
        <v>12</v>
      </c>
    </row>
    <row r="6" ht="15" spans="1:6">
      <c r="A6" s="4">
        <v>2</v>
      </c>
      <c r="B6" s="13" t="s">
        <v>8</v>
      </c>
      <c r="C6" s="13" t="s">
        <v>13</v>
      </c>
      <c r="D6" s="14" t="s">
        <v>10</v>
      </c>
      <c r="E6" s="13" t="s">
        <v>11</v>
      </c>
      <c r="F6" s="13" t="s">
        <v>14</v>
      </c>
    </row>
    <row r="7" ht="15" spans="1:6">
      <c r="A7" s="4">
        <v>3</v>
      </c>
      <c r="B7" s="13" t="s">
        <v>8</v>
      </c>
      <c r="C7" s="13" t="s">
        <v>15</v>
      </c>
      <c r="D7" s="14" t="s">
        <v>10</v>
      </c>
      <c r="E7" s="13" t="s">
        <v>11</v>
      </c>
      <c r="F7" s="13" t="s">
        <v>16</v>
      </c>
    </row>
    <row r="8" ht="15" spans="1:6">
      <c r="A8" s="4">
        <v>4</v>
      </c>
      <c r="B8" s="13" t="s">
        <v>17</v>
      </c>
      <c r="C8" s="13" t="s">
        <v>18</v>
      </c>
      <c r="D8" s="14" t="s">
        <v>10</v>
      </c>
      <c r="E8" s="13" t="s">
        <v>11</v>
      </c>
      <c r="F8" s="13" t="s">
        <v>19</v>
      </c>
    </row>
    <row r="9" ht="15" spans="1:6">
      <c r="A9" s="4">
        <v>5</v>
      </c>
      <c r="B9" s="13" t="s">
        <v>17</v>
      </c>
      <c r="C9" s="13" t="s">
        <v>20</v>
      </c>
      <c r="D9" s="14" t="s">
        <v>10</v>
      </c>
      <c r="E9" s="13" t="s">
        <v>11</v>
      </c>
      <c r="F9" s="13" t="s">
        <v>21</v>
      </c>
    </row>
    <row r="10" ht="15" spans="1:6">
      <c r="A10" s="4">
        <v>6</v>
      </c>
      <c r="B10" s="13" t="s">
        <v>22</v>
      </c>
      <c r="C10" s="13" t="s">
        <v>23</v>
      </c>
      <c r="D10" s="14" t="s">
        <v>10</v>
      </c>
      <c r="E10" s="13" t="s">
        <v>11</v>
      </c>
      <c r="F10" s="13" t="s">
        <v>24</v>
      </c>
    </row>
    <row r="11" ht="15" spans="1:6">
      <c r="A11" s="4">
        <v>7</v>
      </c>
      <c r="B11" s="13" t="s">
        <v>22</v>
      </c>
      <c r="C11" s="13" t="s">
        <v>25</v>
      </c>
      <c r="D11" s="14" t="s">
        <v>10</v>
      </c>
      <c r="E11" s="13" t="s">
        <v>11</v>
      </c>
      <c r="F11" s="13" t="s">
        <v>26</v>
      </c>
    </row>
    <row r="12" ht="15" spans="1:6">
      <c r="A12" s="4">
        <v>8</v>
      </c>
      <c r="B12" s="13" t="s">
        <v>22</v>
      </c>
      <c r="C12" s="13" t="s">
        <v>27</v>
      </c>
      <c r="D12" s="14" t="s">
        <v>10</v>
      </c>
      <c r="E12" s="13" t="s">
        <v>11</v>
      </c>
      <c r="F12" s="13" t="s">
        <v>28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C19" sqref="C19"/>
    </sheetView>
  </sheetViews>
  <sheetFormatPr defaultColWidth="9" defaultRowHeight="14.4" outlineLevelRow="5"/>
  <cols>
    <col min="1" max="1" width="12" customWidth="1"/>
    <col min="2" max="2" width="28" customWidth="1"/>
    <col min="3" max="3" width="18" customWidth="1"/>
    <col min="4" max="4" width="12" customWidth="1"/>
    <col min="5" max="8" width="10" customWidth="1"/>
    <col min="9" max="9" width="12" customWidth="1"/>
    <col min="10" max="14" width="10" customWidth="1"/>
    <col min="15" max="15" width="15" customWidth="1"/>
    <col min="16" max="16" width="18" customWidth="1"/>
    <col min="17" max="18" width="15" customWidth="1"/>
    <col min="19" max="19" width="18" customWidth="1"/>
  </cols>
  <sheetData>
    <row r="1" ht="25" customHeight="1" spans="1:19">
      <c r="A1" s="1" t="s">
        <v>29</v>
      </c>
    </row>
    <row r="2" spans="1:19">
      <c r="A2" s="2" t="s">
        <v>30</v>
      </c>
    </row>
    <row r="4" ht="40" customHeight="1" spans="1:19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35</v>
      </c>
      <c r="K4" s="3" t="s">
        <v>36</v>
      </c>
      <c r="L4" s="3" t="s">
        <v>37</v>
      </c>
    </row>
    <row r="5" ht="15" spans="1:19">
      <c r="A5" s="4" t="s">
        <v>40</v>
      </c>
      <c r="B5" s="4" t="s">
        <v>41</v>
      </c>
      <c r="C5" s="4" t="s">
        <v>42</v>
      </c>
      <c r="D5" s="4" t="s">
        <v>43</v>
      </c>
      <c r="E5" s="9">
        <v>94.2</v>
      </c>
      <c r="F5" s="7" t="e">
        <f>VLOOKUP(D5,原料采购价格表!$C$5:$D$20,2,0)</f>
        <v>#N/A</v>
      </c>
      <c r="G5" s="11">
        <f>(1/N5)*(E5/100)</f>
        <v>0.0102391304347826</v>
      </c>
      <c r="H5" s="7" t="e">
        <f>F5*G5</f>
        <v>#N/A</v>
      </c>
      <c r="I5" s="4" t="s">
        <v>44</v>
      </c>
      <c r="J5" s="9">
        <v>5.8</v>
      </c>
      <c r="K5" s="7" t="e">
        <f>VLOOKUP(I5,原料采购价格表!$C$5:$D$20,2,0)</f>
        <v>#N/A</v>
      </c>
      <c r="L5" s="11">
        <f>(1/N5)*(J5/100)</f>
        <v>0.000630434782608696</v>
      </c>
      <c r="M5" s="7" t="e">
        <f>K5*L5</f>
        <v>#N/A</v>
      </c>
      <c r="N5" s="9">
        <v>92</v>
      </c>
      <c r="O5" s="7" t="e">
        <f>H5+M5</f>
        <v>#N/A</v>
      </c>
      <c r="P5" s="10">
        <v>8.5</v>
      </c>
      <c r="Q5" s="7" t="e">
        <f>O5+P5</f>
        <v>#N/A</v>
      </c>
      <c r="R5" s="12">
        <v>20</v>
      </c>
      <c r="S5" s="7" t="e">
        <f>Q5/(1-R5/100)</f>
        <v>#N/A</v>
      </c>
    </row>
    <row r="6" ht="15" spans="1:19">
      <c r="A6" s="8"/>
      <c r="B6" s="8"/>
      <c r="C6" s="8"/>
      <c r="D6" s="8"/>
      <c r="E6" s="9"/>
      <c r="F6" s="7" t="e">
        <f>VLOOKUP(D6,原料采购价格表!$C$5:$D$20,2,0)</f>
        <v>#N/A</v>
      </c>
      <c r="G6" s="11" t="e">
        <f>(1/N6)*(E6/100)</f>
        <v>#DIV/0!</v>
      </c>
      <c r="H6" s="7" t="e">
        <f>F6*G6</f>
        <v>#N/A</v>
      </c>
      <c r="I6" s="8"/>
      <c r="J6" s="9"/>
      <c r="K6" s="7" t="e">
        <f>VLOOKUP(I6,原料采购价格表!$C$5:$D$20,2,0)</f>
        <v>#N/A</v>
      </c>
      <c r="L6" s="11" t="e">
        <f>(1/N6)*(J6/100)</f>
        <v>#DIV/0!</v>
      </c>
      <c r="M6" s="7" t="e">
        <f>K6*L6</f>
        <v>#N/A</v>
      </c>
      <c r="N6" s="9"/>
      <c r="O6" s="7" t="e">
        <f>H6+M6</f>
        <v>#N/A</v>
      </c>
      <c r="P6" s="10"/>
      <c r="Q6" s="7" t="e">
        <f>O6+P6</f>
        <v>#N/A</v>
      </c>
      <c r="R6" s="10"/>
      <c r="S6" s="7" t="e">
        <f>Q6/(1-R6/100)</f>
        <v>#N/A</v>
      </c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C15" sqref="C15"/>
    </sheetView>
  </sheetViews>
  <sheetFormatPr defaultColWidth="9" defaultRowHeight="14.4"/>
  <cols>
    <col min="1" max="1" width="15" customWidth="1"/>
    <col min="2" max="2" width="12" customWidth="1"/>
    <col min="3" max="3" width="20" customWidth="1"/>
    <col min="4" max="7" width="12" customWidth="1"/>
    <col min="8" max="8" width="15" customWidth="1"/>
    <col min="9" max="11" width="12" customWidth="1"/>
    <col min="12" max="12" width="15" customWidth="1"/>
    <col min="13" max="15" width="12" customWidth="1"/>
  </cols>
  <sheetData>
    <row r="1" ht="25" customHeight="1" spans="1:15">
      <c r="A1" s="1" t="s">
        <v>45</v>
      </c>
    </row>
    <row r="2" spans="1:15">
      <c r="A2" s="2" t="s">
        <v>46</v>
      </c>
    </row>
    <row r="4" ht="40" customHeight="1" spans="1:15">
      <c r="A4" s="3" t="s">
        <v>47</v>
      </c>
      <c r="B4" s="3" t="s">
        <v>31</v>
      </c>
      <c r="C4" s="3" t="s">
        <v>32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</row>
    <row r="5" ht="15" spans="1:15">
      <c r="A5" s="4" t="s">
        <v>60</v>
      </c>
      <c r="B5" s="4" t="s">
        <v>40</v>
      </c>
      <c r="C5" s="4" t="s">
        <v>61</v>
      </c>
      <c r="D5" s="9">
        <v>80</v>
      </c>
      <c r="E5" s="9">
        <v>78.5</v>
      </c>
      <c r="F5" s="9">
        <v>85.2</v>
      </c>
      <c r="G5" s="7" t="e">
        <f>VLOOKUP(B5,品种BOM与标准成本!$A$5:$Q$20,17,0)</f>
        <v>#N/A</v>
      </c>
      <c r="H5" s="7" t="e">
        <f>F5*VLOOKUP(B5,品种BOM与标准成本!$A$5:$O$20,15,0)</f>
        <v>#N/A</v>
      </c>
      <c r="I5" s="10">
        <v>520</v>
      </c>
      <c r="J5" s="10">
        <v>180</v>
      </c>
      <c r="K5" s="7" t="e">
        <f t="shared" ref="K5:K10" si="0">H5+I5+J5</f>
        <v>#N/A</v>
      </c>
      <c r="L5" s="7" t="e">
        <f t="shared" ref="L5:L10" si="1">K5/E5</f>
        <v>#N/A</v>
      </c>
      <c r="M5" s="10">
        <v>52</v>
      </c>
      <c r="N5" s="6" t="e">
        <f t="shared" ref="N5:N10" si="2">(M5-L5)/M5*100</f>
        <v>#N/A</v>
      </c>
      <c r="O5" s="5" t="e">
        <f t="shared" ref="O5:O10" si="3">IF(L5&gt;G5,"超支","达标")</f>
        <v>#N/A</v>
      </c>
    </row>
    <row r="6" ht="15" spans="1:15">
      <c r="A6" s="8"/>
      <c r="B6" s="8"/>
      <c r="C6" s="8"/>
      <c r="D6" s="9"/>
      <c r="E6" s="9"/>
      <c r="F6" s="9"/>
      <c r="G6" s="7" t="e">
        <f>VLOOKUP(B6,品种BOM与标准成本!$A$5:$Q$20,17,0)</f>
        <v>#N/A</v>
      </c>
      <c r="H6" s="7" t="e">
        <f>F6*VLOOKUP(B6,品种BOM与标准成本!$A$5:$O$20,15,0)</f>
        <v>#N/A</v>
      </c>
      <c r="I6" s="10"/>
      <c r="J6" s="10"/>
      <c r="K6" s="7" t="e">
        <f t="shared" si="0"/>
        <v>#N/A</v>
      </c>
      <c r="L6" s="7" t="e">
        <f t="shared" si="1"/>
        <v>#N/A</v>
      </c>
      <c r="M6" s="10"/>
      <c r="N6" s="6" t="e">
        <f t="shared" si="2"/>
        <v>#N/A</v>
      </c>
      <c r="O6" s="5" t="e">
        <f t="shared" si="3"/>
        <v>#N/A</v>
      </c>
    </row>
    <row r="7" ht="15" spans="1:15">
      <c r="A7" s="8"/>
      <c r="B7" s="8"/>
      <c r="C7" s="8"/>
      <c r="D7" s="9"/>
      <c r="E7" s="9"/>
      <c r="F7" s="9"/>
      <c r="G7" s="7" t="e">
        <f>VLOOKUP(B7,品种BOM与标准成本!$A$5:$Q$20,17,0)</f>
        <v>#N/A</v>
      </c>
      <c r="H7" s="7" t="e">
        <f>F7*VLOOKUP(B7,品种BOM与标准成本!$A$5:$O$20,15,0)</f>
        <v>#N/A</v>
      </c>
      <c r="I7" s="10"/>
      <c r="J7" s="10"/>
      <c r="K7" s="7" t="e">
        <f t="shared" si="0"/>
        <v>#N/A</v>
      </c>
      <c r="L7" s="7" t="e">
        <f t="shared" si="1"/>
        <v>#N/A</v>
      </c>
      <c r="M7" s="10"/>
      <c r="N7" s="6" t="e">
        <f t="shared" si="2"/>
        <v>#N/A</v>
      </c>
      <c r="O7" s="5" t="e">
        <f t="shared" si="3"/>
        <v>#N/A</v>
      </c>
    </row>
    <row r="8" ht="15" spans="1:15">
      <c r="A8" s="8"/>
      <c r="B8" s="8"/>
      <c r="C8" s="8"/>
      <c r="D8" s="9"/>
      <c r="E8" s="9"/>
      <c r="F8" s="9"/>
      <c r="G8" s="7" t="e">
        <f>VLOOKUP(B8,品种BOM与标准成本!$A$5:$Q$20,17,0)</f>
        <v>#N/A</v>
      </c>
      <c r="H8" s="7" t="e">
        <f>F8*VLOOKUP(B8,品种BOM与标准成本!$A$5:$O$20,15,0)</f>
        <v>#N/A</v>
      </c>
      <c r="I8" s="10"/>
      <c r="J8" s="10"/>
      <c r="K8" s="7" t="e">
        <f t="shared" si="0"/>
        <v>#N/A</v>
      </c>
      <c r="L8" s="7" t="e">
        <f t="shared" si="1"/>
        <v>#N/A</v>
      </c>
      <c r="M8" s="10"/>
      <c r="N8" s="6" t="e">
        <f t="shared" si="2"/>
        <v>#N/A</v>
      </c>
      <c r="O8" s="5" t="e">
        <f t="shared" si="3"/>
        <v>#N/A</v>
      </c>
    </row>
    <row r="9" ht="15" spans="1:15">
      <c r="A9" s="8"/>
      <c r="B9" s="8"/>
      <c r="C9" s="8"/>
      <c r="D9" s="9"/>
      <c r="E9" s="9"/>
      <c r="F9" s="9"/>
      <c r="G9" s="7" t="e">
        <f>VLOOKUP(B9,品种BOM与标准成本!$A$5:$Q$20,17,0)</f>
        <v>#N/A</v>
      </c>
      <c r="H9" s="7" t="e">
        <f>F9*VLOOKUP(B9,品种BOM与标准成本!$A$5:$O$20,15,0)</f>
        <v>#N/A</v>
      </c>
      <c r="I9" s="10"/>
      <c r="J9" s="10"/>
      <c r="K9" s="7" t="e">
        <f t="shared" si="0"/>
        <v>#N/A</v>
      </c>
      <c r="L9" s="7" t="e">
        <f t="shared" si="1"/>
        <v>#N/A</v>
      </c>
      <c r="M9" s="10"/>
      <c r="N9" s="6" t="e">
        <f t="shared" si="2"/>
        <v>#N/A</v>
      </c>
      <c r="O9" s="5" t="e">
        <f t="shared" si="3"/>
        <v>#N/A</v>
      </c>
    </row>
    <row r="10" ht="15" spans="1:15">
      <c r="A10" s="8"/>
      <c r="B10" s="8"/>
      <c r="C10" s="8"/>
      <c r="D10" s="9"/>
      <c r="E10" s="9"/>
      <c r="F10" s="9"/>
      <c r="G10" s="7" t="e">
        <f>VLOOKUP(B10,品种BOM与标准成本!$A$5:$Q$20,17,0)</f>
        <v>#N/A</v>
      </c>
      <c r="H10" s="7" t="e">
        <f>F10*VLOOKUP(B10,品种BOM与标准成本!$A$5:$O$20,15,0)</f>
        <v>#N/A</v>
      </c>
      <c r="I10" s="10"/>
      <c r="J10" s="10"/>
      <c r="K10" s="7" t="e">
        <f t="shared" si="0"/>
        <v>#N/A</v>
      </c>
      <c r="L10" s="7" t="e">
        <f t="shared" si="1"/>
        <v>#N/A</v>
      </c>
      <c r="M10" s="10"/>
      <c r="N10" s="6" t="e">
        <f t="shared" si="2"/>
        <v>#N/A</v>
      </c>
      <c r="O10" s="5" t="e">
        <f t="shared" si="3"/>
        <v>#N/A</v>
      </c>
    </row>
  </sheetData>
  <mergeCells count="2">
    <mergeCell ref="A1:N1"/>
    <mergeCell ref="A2:N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D15" sqref="D15"/>
    </sheetView>
  </sheetViews>
  <sheetFormatPr defaultColWidth="9" defaultRowHeight="14.4"/>
  <cols>
    <col min="1" max="1" width="12" customWidth="1"/>
    <col min="2" max="2" width="25" customWidth="1"/>
    <col min="3" max="11" width="12" customWidth="1"/>
  </cols>
  <sheetData>
    <row r="1" ht="25" customHeight="1" spans="1:11">
      <c r="A1" s="1" t="s">
        <v>62</v>
      </c>
    </row>
    <row r="2" spans="1:11">
      <c r="A2" s="2" t="s">
        <v>63</v>
      </c>
    </row>
    <row r="4" ht="40" customHeight="1" spans="1:11">
      <c r="A4" s="3" t="s">
        <v>31</v>
      </c>
      <c r="B4" s="3" t="s">
        <v>32</v>
      </c>
      <c r="C4" s="3" t="s">
        <v>64</v>
      </c>
      <c r="D4" s="3" t="s">
        <v>65</v>
      </c>
      <c r="E4" s="3" t="s">
        <v>51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58</v>
      </c>
      <c r="K4" s="3" t="s">
        <v>70</v>
      </c>
    </row>
    <row r="5" ht="15" spans="1:11">
      <c r="A5" s="4" t="s">
        <v>40</v>
      </c>
      <c r="B5" s="4" t="s">
        <v>61</v>
      </c>
      <c r="C5" s="5">
        <f>COUNTIF(订单实际成本归集!$B$5:$B$50,A5)</f>
        <v>1</v>
      </c>
      <c r="D5" s="6">
        <f>SUMIF(订单实际成本归集!$B$5:$B$50,A5,订单实际成本归集!$E$5:$E$50)</f>
        <v>78.5</v>
      </c>
      <c r="E5" s="7" t="e">
        <f>VLOOKUP(A5,品种BOM与标准成本!$A$5:$Q$20,17,0)</f>
        <v>#N/A</v>
      </c>
      <c r="F5" s="7" t="e">
        <f>SUMIF(订单实际成本归集!$B$5:$B$50,A5,订单实际成本归集!$K$5:$K$50)/D5</f>
        <v>#N/A</v>
      </c>
      <c r="G5" s="7" t="e">
        <f t="shared" ref="G5:G10" si="0">F5-E5</f>
        <v>#N/A</v>
      </c>
      <c r="H5" s="7">
        <f>SUMIF(订单实际成本归集!$B$5:$B$50,A5,订单实际成本归集!$M$5:$M$50)/C5</f>
        <v>52</v>
      </c>
      <c r="I5" s="6" t="e">
        <f t="shared" ref="I5:I10" si="1">(H5-E5)/H5*100</f>
        <v>#N/A</v>
      </c>
      <c r="J5" s="6" t="e">
        <f t="shared" ref="J5:J10" si="2">(H5-F5)/H5*100</f>
        <v>#N/A</v>
      </c>
      <c r="K5" s="5" t="e">
        <f t="shared" ref="K5:K10" si="3">IF(J5&lt;15,"亏损",IF(J5&lt;20,"低利","正常"))</f>
        <v>#N/A</v>
      </c>
    </row>
    <row r="6" ht="15" spans="1:11">
      <c r="A6" s="8"/>
      <c r="B6" s="8"/>
      <c r="C6" s="5">
        <f>COUNTIF(订单实际成本归集!$B$5:$B$50,A6)</f>
        <v>0</v>
      </c>
      <c r="D6" s="6">
        <f>SUMIF(订单实际成本归集!$B$5:$B$50,A6,订单实际成本归集!$E$5:$E$50)</f>
        <v>0</v>
      </c>
      <c r="E6" s="7" t="e">
        <f>VLOOKUP(A6,品种BOM与标准成本!$A$5:$Q$20,17,0)</f>
        <v>#N/A</v>
      </c>
      <c r="F6" s="7" t="e">
        <f>SUMIF(订单实际成本归集!$B$5:$B$50,A6,订单实际成本归集!$K$5:$K$50)/D6</f>
        <v>#DIV/0!</v>
      </c>
      <c r="G6" s="7" t="e">
        <f t="shared" si="0"/>
        <v>#DIV/0!</v>
      </c>
      <c r="H6" s="7" t="e">
        <f>SUMIF(订单实际成本归集!$B$5:$B$50,A6,订单实际成本归集!$M$5:$M$50)/C6</f>
        <v>#DIV/0!</v>
      </c>
      <c r="I6" s="6" t="e">
        <f t="shared" si="1"/>
        <v>#DIV/0!</v>
      </c>
      <c r="J6" s="6" t="e">
        <f t="shared" si="2"/>
        <v>#DIV/0!</v>
      </c>
      <c r="K6" s="5" t="e">
        <f t="shared" si="3"/>
        <v>#DIV/0!</v>
      </c>
    </row>
    <row r="7" ht="15" spans="1:11">
      <c r="A7" s="8"/>
      <c r="B7" s="8"/>
      <c r="C7" s="5">
        <f>COUNTIF(订单实际成本归集!$B$5:$B$50,A7)</f>
        <v>0</v>
      </c>
      <c r="D7" s="6">
        <f>SUMIF(订单实际成本归集!$B$5:$B$50,A7,订单实际成本归集!$E$5:$E$50)</f>
        <v>0</v>
      </c>
      <c r="E7" s="7" t="e">
        <f>VLOOKUP(A7,品种BOM与标准成本!$A$5:$Q$20,17,0)</f>
        <v>#N/A</v>
      </c>
      <c r="F7" s="7" t="e">
        <f>SUMIF(订单实际成本归集!$B$5:$B$50,A7,订单实际成本归集!$K$5:$K$50)/D7</f>
        <v>#DIV/0!</v>
      </c>
      <c r="G7" s="7" t="e">
        <f t="shared" si="0"/>
        <v>#DIV/0!</v>
      </c>
      <c r="H7" s="7" t="e">
        <f>SUMIF(订单实际成本归集!$B$5:$B$50,A7,订单实际成本归集!$M$5:$M$50)/C7</f>
        <v>#DIV/0!</v>
      </c>
      <c r="I7" s="6" t="e">
        <f t="shared" si="1"/>
        <v>#DIV/0!</v>
      </c>
      <c r="J7" s="6" t="e">
        <f t="shared" si="2"/>
        <v>#DIV/0!</v>
      </c>
      <c r="K7" s="5" t="e">
        <f t="shared" si="3"/>
        <v>#DIV/0!</v>
      </c>
    </row>
    <row r="8" ht="15" spans="1:11">
      <c r="A8" s="8"/>
      <c r="B8" s="8"/>
      <c r="C8" s="5">
        <f>COUNTIF(订单实际成本归集!$B$5:$B$50,A8)</f>
        <v>0</v>
      </c>
      <c r="D8" s="6">
        <f>SUMIF(订单实际成本归集!$B$5:$B$50,A8,订单实际成本归集!$E$5:$E$50)</f>
        <v>0</v>
      </c>
      <c r="E8" s="7" t="e">
        <f>VLOOKUP(A8,品种BOM与标准成本!$A$5:$Q$20,17,0)</f>
        <v>#N/A</v>
      </c>
      <c r="F8" s="7" t="e">
        <f>SUMIF(订单实际成本归集!$B$5:$B$50,A8,订单实际成本归集!$K$5:$K$50)/D8</f>
        <v>#DIV/0!</v>
      </c>
      <c r="G8" s="7" t="e">
        <f t="shared" si="0"/>
        <v>#DIV/0!</v>
      </c>
      <c r="H8" s="7" t="e">
        <f>SUMIF(订单实际成本归集!$B$5:$B$50,A8,订单实际成本归集!$M$5:$M$50)/C8</f>
        <v>#DIV/0!</v>
      </c>
      <c r="I8" s="6" t="e">
        <f t="shared" si="1"/>
        <v>#DIV/0!</v>
      </c>
      <c r="J8" s="6" t="e">
        <f t="shared" si="2"/>
        <v>#DIV/0!</v>
      </c>
      <c r="K8" s="5" t="e">
        <f t="shared" si="3"/>
        <v>#DIV/0!</v>
      </c>
    </row>
    <row r="9" ht="15" spans="1:11">
      <c r="A9" s="8"/>
      <c r="B9" s="8"/>
      <c r="C9" s="5">
        <f>COUNTIF(订单实际成本归集!$B$5:$B$50,A9)</f>
        <v>0</v>
      </c>
      <c r="D9" s="6">
        <f>SUMIF(订单实际成本归集!$B$5:$B$50,A9,订单实际成本归集!$E$5:$E$50)</f>
        <v>0</v>
      </c>
      <c r="E9" s="7" t="e">
        <f>VLOOKUP(A9,品种BOM与标准成本!$A$5:$Q$20,17,0)</f>
        <v>#N/A</v>
      </c>
      <c r="F9" s="7" t="e">
        <f>SUMIF(订单实际成本归集!$B$5:$B$50,A9,订单实际成本归集!$K$5:$K$50)/D9</f>
        <v>#DIV/0!</v>
      </c>
      <c r="G9" s="7" t="e">
        <f t="shared" si="0"/>
        <v>#DIV/0!</v>
      </c>
      <c r="H9" s="7" t="e">
        <f>SUMIF(订单实际成本归集!$B$5:$B$50,A9,订单实际成本归集!$M$5:$M$50)/C9</f>
        <v>#DIV/0!</v>
      </c>
      <c r="I9" s="6" t="e">
        <f t="shared" si="1"/>
        <v>#DIV/0!</v>
      </c>
      <c r="J9" s="6" t="e">
        <f t="shared" si="2"/>
        <v>#DIV/0!</v>
      </c>
      <c r="K9" s="5" t="e">
        <f t="shared" si="3"/>
        <v>#DIV/0!</v>
      </c>
    </row>
    <row r="10" ht="15" spans="1:11">
      <c r="A10" s="8"/>
      <c r="B10" s="8"/>
      <c r="C10" s="5">
        <f>COUNTIF(订单实际成本归集!$B$5:$B$50,A10)</f>
        <v>0</v>
      </c>
      <c r="D10" s="6">
        <f>SUMIF(订单实际成本归集!$B$5:$B$50,A10,订单实际成本归集!$E$5:$E$50)</f>
        <v>0</v>
      </c>
      <c r="E10" s="7" t="e">
        <f>VLOOKUP(A10,品种BOM与标准成本!$A$5:$Q$20,17,0)</f>
        <v>#N/A</v>
      </c>
      <c r="F10" s="7" t="e">
        <f>SUMIF(订单实际成本归集!$B$5:$B$50,A10,订单实际成本归集!$K$5:$K$50)/D10</f>
        <v>#DIV/0!</v>
      </c>
      <c r="G10" s="7" t="e">
        <f t="shared" si="0"/>
        <v>#DIV/0!</v>
      </c>
      <c r="H10" s="7" t="e">
        <f>SUMIF(订单实际成本归集!$B$5:$B$50,A10,订单实际成本归集!$M$5:$M$50)/C10</f>
        <v>#DIV/0!</v>
      </c>
      <c r="I10" s="6" t="e">
        <f t="shared" si="1"/>
        <v>#DIV/0!</v>
      </c>
      <c r="J10" s="6" t="e">
        <f t="shared" si="2"/>
        <v>#DIV/0!</v>
      </c>
      <c r="K10" s="5" t="e">
        <f t="shared" si="3"/>
        <v>#DIV/0!</v>
      </c>
    </row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原料采购价格表</vt:lpstr>
      <vt:lpstr>品种BOM与标准成本</vt:lpstr>
      <vt:lpstr>订单实际成本归集</vt:lpstr>
      <vt:lpstr>月度成本差异分析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Kobe Stefanie</cp:lastModifiedBy>
  <dcterms:created xsi:type="dcterms:W3CDTF">2026-08-14T02:46:00Z</dcterms:created>
  <dcterms:modified xsi:type="dcterms:W3CDTF">2026-08-14T10:59:20Z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AF1C002F42404E0D9AACDB780833837D_12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