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sz val="12"/>
    </font>
    <font>
      <name val="微软雅黑"/>
      <b val="1"/>
      <color rgb="00C00000"/>
      <sz val="14"/>
    </font>
    <font>
      <name val="微软雅黑"/>
      <sz val="12"/>
    </font>
    <font>
      <name val="微软雅黑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 ht="30" customHeight="1">
      <c r="A1" s="1" t="inlineStr">
        <is>
          <t>来料加工报价单</t>
        </is>
      </c>
    </row>
    <row r="2">
      <c r="A2" s="2" t="inlineStr">
        <is>
          <t>客户名称：</t>
        </is>
      </c>
      <c r="B2" s="3" t="inlineStr">
        <is>
          <t>[待填写]</t>
        </is>
      </c>
      <c r="E2" s="2" t="inlineStr">
        <is>
          <t>报价日期：</t>
        </is>
      </c>
      <c r="F2" s="4">
        <f>TEXT(TODAY(),"yyyy-mm-dd")</f>
        <v/>
      </c>
    </row>
    <row r="3">
      <c r="A3" s="2" t="inlineStr">
        <is>
          <t>产品名称：</t>
        </is>
      </c>
      <c r="B3" s="3" t="inlineStr">
        <is>
          <t>[待填写]</t>
        </is>
      </c>
      <c r="E3" s="2" t="inlineStr">
        <is>
          <t>有效期：</t>
        </is>
      </c>
      <c r="F3" s="4" t="inlineStr">
        <is>
          <t>30天</t>
        </is>
      </c>
    </row>
    <row r="5">
      <c r="A5" s="5" t="inlineStr">
        <is>
          <t>一、原材料成本明细（按成品1公斤计算）</t>
        </is>
      </c>
    </row>
    <row r="6">
      <c r="A6" s="6" t="inlineStr">
        <is>
          <t>序号</t>
        </is>
      </c>
      <c r="B6" s="6" t="inlineStr">
        <is>
          <t>材料名称</t>
        </is>
      </c>
      <c r="C6" s="6" t="inlineStr">
        <is>
          <t>工艺占比</t>
        </is>
      </c>
      <c r="D6" s="6" t="inlineStr">
        <is>
          <t>单位</t>
        </is>
      </c>
      <c r="E6" s="6" t="inlineStr">
        <is>
          <t>单价(元)</t>
        </is>
      </c>
      <c r="F6" s="6" t="inlineStr">
        <is>
          <t>材料成本(元)</t>
        </is>
      </c>
      <c r="G6" s="6" t="inlineStr">
        <is>
          <t>备注</t>
        </is>
      </c>
    </row>
    <row r="7">
      <c r="A7" s="7" t="inlineStr">
        <is>
          <t>1</t>
        </is>
      </c>
      <c r="B7" s="7" t="inlineStr">
        <is>
          <t>40S棉纱</t>
        </is>
      </c>
      <c r="C7" s="8" t="n">
        <v>0.5048</v>
      </c>
      <c r="D7" s="7" t="inlineStr">
        <is>
          <t>元/吨</t>
        </is>
      </c>
      <c r="E7" s="7" t="n">
        <v>26000</v>
      </c>
      <c r="F7" s="9">
        <f>E7*C7/1000</f>
        <v/>
      </c>
      <c r="G7" s="7" t="inlineStr">
        <is>
          <t>主料</t>
        </is>
      </c>
    </row>
    <row r="8">
      <c r="A8" s="7" t="inlineStr">
        <is>
          <t>2</t>
        </is>
      </c>
      <c r="B8" s="7" t="inlineStr">
        <is>
          <t>75D丝</t>
        </is>
      </c>
      <c r="C8" s="8" t="n">
        <v>0.2495</v>
      </c>
      <c r="D8" s="7" t="inlineStr">
        <is>
          <t>元/吨</t>
        </is>
      </c>
      <c r="E8" s="7" t="n">
        <v>10460</v>
      </c>
      <c r="F8" s="9">
        <f>E8*C8/1000</f>
        <v/>
      </c>
      <c r="G8" s="7" t="inlineStr">
        <is>
          <t>辅料</t>
        </is>
      </c>
    </row>
    <row r="9">
      <c r="A9" s="7" t="inlineStr">
        <is>
          <t>3</t>
        </is>
      </c>
      <c r="B9" s="7" t="inlineStr">
        <is>
          <t>150D丝</t>
        </is>
      </c>
      <c r="C9" s="8" t="n">
        <v>0.2457</v>
      </c>
      <c r="D9" s="7" t="inlineStr">
        <is>
          <t>元/吨</t>
        </is>
      </c>
      <c r="E9" s="7" t="n">
        <v>10100</v>
      </c>
      <c r="F9" s="9">
        <f>E9*C9/1000</f>
        <v/>
      </c>
      <c r="G9" s="7" t="inlineStr">
        <is>
          <t>辅料</t>
        </is>
      </c>
    </row>
    <row r="10">
      <c r="A10" s="10" t="inlineStr">
        <is>
          <t>合计</t>
        </is>
      </c>
      <c r="C10" s="11">
        <f>SUM(C7:C9)</f>
        <v/>
      </c>
      <c r="D10" s="10" t="inlineStr">
        <is>
          <t>材料成本小计（净重）</t>
        </is>
      </c>
      <c r="F10" s="12">
        <f>SUM(F7:F9)</f>
        <v/>
      </c>
    </row>
    <row r="12">
      <c r="A12" s="5" t="inlineStr">
        <is>
          <t>二、加工成本明细</t>
        </is>
      </c>
    </row>
    <row r="13">
      <c r="A13" s="6" t="inlineStr">
        <is>
          <t>序号</t>
        </is>
      </c>
      <c r="B13" s="6" t="inlineStr">
        <is>
          <t>项目</t>
        </is>
      </c>
      <c r="C13" s="6" t="inlineStr">
        <is>
          <t>费率/单价</t>
        </is>
      </c>
      <c r="D13" s="6" t="inlineStr">
        <is>
          <t>单位</t>
        </is>
      </c>
      <c r="E13" s="6" t="inlineStr">
        <is>
          <t>金额(元/公斤)</t>
        </is>
      </c>
      <c r="F13" s="6" t="inlineStr">
        <is>
          <t>计算说明</t>
        </is>
      </c>
      <c r="G13" s="13" t="n"/>
    </row>
    <row r="14">
      <c r="A14" s="7" t="inlineStr">
        <is>
          <t>1</t>
        </is>
      </c>
      <c r="B14" s="7" t="inlineStr">
        <is>
          <t>材料成本（净重）</t>
        </is>
      </c>
      <c r="C14" s="9">
        <f>F10</f>
        <v/>
      </c>
      <c r="D14" s="7" t="inlineStr">
        <is>
          <t>元/公斤</t>
        </is>
      </c>
      <c r="E14" s="9">
        <f>C14</f>
        <v/>
      </c>
      <c r="F14" s="14" t="inlineStr">
        <is>
          <t>来自第一部分</t>
        </is>
      </c>
      <c r="G14" s="13" t="n"/>
    </row>
    <row r="15">
      <c r="A15" s="7" t="inlineStr">
        <is>
          <t>2</t>
        </is>
      </c>
      <c r="B15" s="7" t="inlineStr">
        <is>
          <t>织损率</t>
        </is>
      </c>
      <c r="C15" s="8" t="n">
        <v>0.02</v>
      </c>
      <c r="D15" s="7" t="inlineStr">
        <is>
          <t>%</t>
        </is>
      </c>
      <c r="E15" s="9">
        <f>E14*C15/(1-C15)</f>
        <v/>
      </c>
      <c r="F15" s="14" t="inlineStr">
        <is>
          <t>加工过程物理损耗</t>
        </is>
      </c>
      <c r="G15" s="13" t="n"/>
    </row>
    <row r="16">
      <c r="A16" s="7" t="inlineStr">
        <is>
          <t>3</t>
        </is>
      </c>
      <c r="B16" s="7" t="inlineStr">
        <is>
          <t>织损金额</t>
        </is>
      </c>
      <c r="C16" s="9">
        <f>E15</f>
        <v/>
      </c>
      <c r="D16" s="7" t="inlineStr">
        <is>
          <t>元/公斤</t>
        </is>
      </c>
      <c r="E16" s="9">
        <f>E15</f>
        <v/>
      </c>
      <c r="F16" s="14" t="inlineStr">
        <is>
          <t>织损成本增加</t>
        </is>
      </c>
      <c r="G16" s="13" t="n"/>
    </row>
    <row r="17">
      <c r="A17" s="7" t="inlineStr">
        <is>
          <t>4</t>
        </is>
      </c>
      <c r="B17" s="7" t="inlineStr">
        <is>
          <t>织前投料成本</t>
        </is>
      </c>
      <c r="C17" s="9">
        <f>E14+E16</f>
        <v/>
      </c>
      <c r="D17" s="7" t="inlineStr">
        <is>
          <t>元/公斤</t>
        </is>
      </c>
      <c r="E17" s="9">
        <f>E17</f>
        <v/>
      </c>
      <c r="F17" s="14" t="inlineStr">
        <is>
          <t>扣除织损前需要的净料成本</t>
        </is>
      </c>
      <c r="G17" s="13" t="n"/>
    </row>
    <row r="18">
      <c r="A18" s="7" t="inlineStr">
        <is>
          <t>5</t>
        </is>
      </c>
      <c r="B18" s="7" t="inlineStr">
        <is>
          <t>皮重率</t>
        </is>
      </c>
      <c r="C18" s="8" t="n">
        <v>0.03</v>
      </c>
      <c r="D18" s="7" t="inlineStr">
        <is>
          <t>%</t>
        </is>
      </c>
      <c r="E18" s="9">
        <f>E17*C18/(1-C18)</f>
        <v/>
      </c>
      <c r="F18" s="14" t="inlineStr">
        <is>
          <t>包装袋/纸筒/包装膜等占比</t>
        </is>
      </c>
      <c r="G18" s="13" t="n"/>
    </row>
    <row r="19">
      <c r="A19" s="7" t="inlineStr">
        <is>
          <t>6</t>
        </is>
      </c>
      <c r="B19" s="7" t="inlineStr">
        <is>
          <t>皮重成本分摊</t>
        </is>
      </c>
      <c r="C19" s="9">
        <f>E19</f>
        <v/>
      </c>
      <c r="D19" s="7" t="inlineStr">
        <is>
          <t>元/公斤</t>
        </is>
      </c>
      <c r="E19" s="9">
        <f>E19</f>
        <v/>
      </c>
      <c r="F19" s="14" t="inlineStr">
        <is>
          <t>包装物成本分摊到成品</t>
        </is>
      </c>
      <c r="G19" s="13" t="n"/>
    </row>
    <row r="20">
      <c r="A20" s="7" t="inlineStr">
        <is>
          <t>7</t>
        </is>
      </c>
      <c r="B20" s="7" t="inlineStr">
        <is>
          <t>到厂毛重成本</t>
        </is>
      </c>
      <c r="C20" s="9">
        <f>E17+E20</f>
        <v/>
      </c>
      <c r="D20" s="7" t="inlineStr">
        <is>
          <t>元/公斤</t>
        </is>
      </c>
      <c r="E20" s="9">
        <f>E21</f>
        <v/>
      </c>
      <c r="F20" s="14" t="inlineStr">
        <is>
          <t>采购含包装总成本</t>
        </is>
      </c>
      <c r="G20" s="13" t="n"/>
    </row>
    <row r="21">
      <c r="A21" s="7" t="inlineStr">
        <is>
          <t>8</t>
        </is>
      </c>
      <c r="B21" s="7" t="inlineStr">
        <is>
          <t>织布人工</t>
        </is>
      </c>
      <c r="C21" s="9">
        <f>C22</f>
        <v/>
      </c>
      <c r="D21" s="7" t="inlineStr">
        <is>
          <t>元/公斤</t>
        </is>
      </c>
      <c r="E21" s="9">
        <f>C22</f>
        <v/>
      </c>
      <c r="F21" s="14" t="inlineStr">
        <is>
          <t>按公斤计费</t>
        </is>
      </c>
      <c r="G21" s="13" t="n"/>
    </row>
    <row r="22">
      <c r="A22" s="7" t="inlineStr">
        <is>
          <t>9</t>
        </is>
      </c>
      <c r="B22" s="7" t="inlineStr">
        <is>
          <t>坯布成本合计</t>
        </is>
      </c>
      <c r="C22" s="7" t="n">
        <v>1.2</v>
      </c>
      <c r="D22" s="7" t="inlineStr">
        <is>
          <t>元/公斤</t>
        </is>
      </c>
      <c r="E22" s="9">
        <f>E21+E23</f>
        <v/>
      </c>
      <c r="F22" s="14" t="inlineStr">
        <is>
          <t>最终报价</t>
        </is>
      </c>
      <c r="G22" s="13" t="n"/>
    </row>
    <row r="23"/>
    <row r="24"/>
    <row r="26">
      <c r="A26" s="5" t="inlineStr">
        <is>
          <t>三、报价总结</t>
        </is>
      </c>
    </row>
    <row r="27">
      <c r="A27" s="15" t="inlineStr">
        <is>
          <t>坯布单价：</t>
        </is>
      </c>
      <c r="B27" s="16">
        <f>E24</f>
        <v/>
      </c>
      <c r="E27" s="17" t="inlineStr">
        <is>
          <t>元/公斤</t>
        </is>
      </c>
    </row>
    <row r="29">
      <c r="A29" s="18" t="inlineStr">
        <is>
          <t>四、公式验证（内部用，对外报价时可隐藏此部分）</t>
        </is>
      </c>
    </row>
    <row r="30">
      <c r="A30" s="6" t="inlineStr">
        <is>
          <t>验证项</t>
        </is>
      </c>
      <c r="B30" s="6" t="inlineStr">
        <is>
          <t>计算公式</t>
        </is>
      </c>
      <c r="C30" s="6" t="inlineStr">
        <is>
          <t>结果</t>
        </is>
      </c>
      <c r="D30" s="6" t="inlineStr">
        <is>
          <t>单位</t>
        </is>
      </c>
      <c r="E30" s="6" t="inlineStr">
        <is>
          <t>状态</t>
        </is>
      </c>
    </row>
    <row r="31">
      <c r="A31" s="7" t="inlineStr">
        <is>
          <t>扣除皮重验证</t>
        </is>
      </c>
      <c r="B31" s="7">
        <f>(F10+E20)*(1-C18)</f>
        <v/>
      </c>
      <c r="C31" s="9">
        <f>C31</f>
        <v/>
      </c>
      <c r="D31" s="7" t="inlineStr">
        <is>
          <t>元</t>
        </is>
      </c>
      <c r="E31" s="7">
        <f>IF(ABS(C31-E17)&lt;0.01,"✓通过","✗失败")</f>
        <v/>
      </c>
    </row>
    <row r="32">
      <c r="A32" s="7" t="inlineStr">
        <is>
          <t>扣除织损验证</t>
        </is>
      </c>
      <c r="B32" s="7">
        <f>(E17+E16)*(1-C15)</f>
        <v/>
      </c>
      <c r="C32" s="9">
        <f>C32</f>
        <v/>
      </c>
      <c r="D32" s="7" t="inlineStr">
        <is>
          <t>元</t>
        </is>
      </c>
      <c r="E32" s="7">
        <f>IF(ABS(C32-F10)&lt;0.01,"✓通过","✗失败")</f>
        <v/>
      </c>
    </row>
    <row r="33">
      <c r="A33" s="7" t="inlineStr">
        <is>
          <t>完整验证</t>
        </is>
      </c>
      <c r="B33" s="7">
        <f>(E24-E23)*(1-C15)*(1-C18)</f>
        <v/>
      </c>
      <c r="C33" s="9">
        <f>C33</f>
        <v/>
      </c>
      <c r="D33" s="7" t="inlineStr">
        <is>
          <t>元</t>
        </is>
      </c>
      <c r="E33" s="7">
        <f>IF(ABS(C33-F10)&lt;0.01,"✓通过","✗失败")</f>
        <v/>
      </c>
    </row>
    <row r="35">
      <c r="A35" s="19" t="inlineStr">
        <is>
          <t>备注：1. 黄色单元格为需要填写或调整的参数  2. 报价有效期30天  3. 验证区域对外报价时可隐藏  4. 所有金额保留四位小数</t>
        </is>
      </c>
    </row>
  </sheetData>
  <mergeCells count="28">
    <mergeCell ref="D10:E10"/>
    <mergeCell ref="F16:G16"/>
    <mergeCell ref="B3:C3"/>
    <mergeCell ref="F19:G19"/>
    <mergeCell ref="A35:G35"/>
    <mergeCell ref="A29:G29"/>
    <mergeCell ref="F3:G3"/>
    <mergeCell ref="F21:G21"/>
    <mergeCell ref="B2:C2"/>
    <mergeCell ref="F24:G24"/>
    <mergeCell ref="F30:G30"/>
    <mergeCell ref="F15:G15"/>
    <mergeCell ref="F20:G20"/>
    <mergeCell ref="F18:G18"/>
    <mergeCell ref="F33:G33"/>
    <mergeCell ref="F32:G32"/>
    <mergeCell ref="F17:G17"/>
    <mergeCell ref="F2:G2"/>
    <mergeCell ref="A1:G1"/>
    <mergeCell ref="F23:G23"/>
    <mergeCell ref="F31:G31"/>
    <mergeCell ref="F22:G22"/>
    <mergeCell ref="F13:G13"/>
    <mergeCell ref="A12:G12"/>
    <mergeCell ref="A26:G26"/>
    <mergeCell ref="B27:D27"/>
    <mergeCell ref="F14:G14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2026-08-24T05:04:45Z</dcterms:created>
  <dcterms:modified xmlns:dcterms="http://purl.org/dc/terms/" xmlns:xsi="http://www.w3.org/2001/XMLSchema-instance" xsi:type="dcterms:W3CDTF">2026-08-24T05:04:45Z</dcterms:modified>
</cp:coreProperties>
</file>