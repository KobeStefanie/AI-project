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项目\12-成本控制\织造部成本核算\"/>
    </mc:Choice>
  </mc:AlternateContent>
  <bookViews>
    <workbookView windowWidth="22188" windowHeight="9060"/>
  </bookViews>
  <sheets>
    <sheet name="来料加工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<sst xmlns="http://schemas.openxmlformats.org/spreadsheetml/2006/main" count="64" uniqueCount="53">
  <si>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来料加工报价单（含逻辑说明与自动验证）</t>
  </si>
  <si>
    <t>使用方法：
1. 在浅黄色区域输入：
   - 欠重率（如3%）
   - 织损率（如1.5%）
   - 织布人工单价
2. 修改原料单价和占比
3. 查看"自动验证"区域，
   确认"✓通过"
4. 最终报价 = 坯布成本</t>
  </si>
  <si>
    <t>【第一部分】原材料成本（按成品需求）</t>
  </si>
  <si>
    <t>序号</t>
  </si>
  <si>
    <t>材料名称</t>
  </si>
  <si>
    <t>工艺占比%</t>
  </si>
  <si>
    <t>单位</t>
  </si>
  <si>
    <t>单价</t>
  </si>
  <si>
    <t>材料成本</t>
  </si>
  <si>
    <t>产品名称</t>
  </si>
  <si>
    <t>40S棉纱</t>
  </si>
  <si>
    <t>元/吨</t>
  </si>
  <si>
    <t/>
  </si>
  <si>
    <t>75D丝</t>
  </si>
  <si>
    <t>150D丝</t>
  </si>
  <si>
    <t>150D</t>
  </si>
  <si>
    <t>合计</t>
  </si>
  <si>
    <t>必须占比之和100%</t>
  </si>
  <si>
    <t>【第二部分】坯布成本（反推供料需求）</t>
  </si>
  <si>
    <t>项目</t>
  </si>
  <si>
    <t>单价/比例</t>
  </si>
  <si>
    <t>金额</t>
  </si>
  <si>
    <t>计算逻辑说明</t>
  </si>
  <si>
    <t>材料成本（成品需求）</t>
  </si>
  <si>
    <t>元</t>
  </si>
  <si>
    <t>按成品所需的理想材料成本</t>
  </si>
  <si>
    <t>欠重率</t>
  </si>
  <si>
    <t>百分比</t>
  </si>
  <si>
    <t>客户供料短缺比例（输入区）</t>
  </si>
  <si>
    <t>欠重金额</t>
  </si>
  <si>
    <t>公式：材料成本×欠重率÷(1-欠重率)</t>
  </si>
  <si>
    <t>到厂净重成本</t>
  </si>
  <si>
    <t>材料成本+欠重金额</t>
  </si>
  <si>
    <t>织损率</t>
  </si>
  <si>
    <t>加工损耗比例（输入区）</t>
  </si>
  <si>
    <t>织损金额</t>
  </si>
  <si>
    <t>公式：净重成本×织损率÷(1-织损率)</t>
  </si>
  <si>
    <t>织布人工</t>
  </si>
  <si>
    <t>计件工资（输入区）</t>
  </si>
  <si>
    <t>坯布成本</t>
  </si>
  <si>
    <t>净重成本+织损金额+人工</t>
  </si>
  <si>
    <t>【第三部分】公式逻辑说明</t>
  </si>
  <si>
    <t>核心逻辑：从成品往回倒推供料需求
1. 欠重金额计算：
   - 欠重是"物理损耗"，不是简单附加费
   - 公式：欠重金额 = 材料成本 × 欠重率 ÷ (1 - 欠重率)
   - 示例：1000元材料，欠重3% → 1000×3%÷97% = 30.93元
2. 织损金额计算：
   - 织损也是"物理损耗"，基于到厂净重
   - 公式：织损金额 = 到厂净重成本 × 织损率 ÷ (1 - 织损率)
   - 示例：1030元净重，织损1.5% → 1030×1.5%÷98.5% = 15.69元
3. 为什么不是简单乘法？
   - 错误：1000×3% = 30元（这是价格附加，如增值税）
   - 正确：1000×3%÷97% = 30.93元（这是物理损耗，要倒推）</t>
  </si>
  <si>
    <t>【第四部分】自动验证（正向推算）</t>
  </si>
  <si>
    <t>验证项目</t>
  </si>
  <si>
    <t>计算</t>
  </si>
  <si>
    <t>结果</t>
  </si>
  <si>
    <t>目标</t>
  </si>
  <si>
    <t>偏差</t>
  </si>
  <si>
    <t>是否通过</t>
  </si>
  <si>
    <t>扣除欠重后净重成本</t>
  </si>
  <si>
    <t>扣除织损后成品成本</t>
  </si>
  <si>
    <t>完整验证：供料→成品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</si>
</sst>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4CAF50"/>
        <bgColor rgb="FF4CAF50"/>
      </patternFill>
    </fill>
    <fill>
      <patternFill patternType="solid">
        <fgColor rgb="FF81C784"/>
        <bgColor rgb="FF81C784"/>
      </patternFill>
    </fill>
    <fill>
      <patternFill patternType="solid">
        <fgColor rgb="FFFFF59D"/>
        <bgColor rgb="FFFFF59D"/>
      </patternFill>
    </fill>
    <fill>
      <patternFill patternType="solid">
        <fgColor rgb="FFEF5350"/>
        <bgColor rgb="FFEF5350"/>
      </patternFill>
    </fill>
    <fill>
      <patternFill patternType="solid">
        <fgColor rgb="FF42A5F5"/>
        <bgColor rgb="FF42A5F5"/>
      </patternFill>
    </fill>
    <fill>
      <patternFill patternType="solid">
        <fgColor rgb="FFE1F5FE"/>
        <bgColor rgb="FFE1F5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2" fillId="4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0" fontId="0" fillId="6" borderId="2" xfId="0" applyNumberForma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" fontId="4" fillId="7" borderId="2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D44" sqref="D44"/>
    </sheetView>
  </sheetViews>
  <sheetFormatPr defaultColWidth="9" defaultRowHeight="14.4"/>
  <cols>
    <col min="1" max="1" width="23.1111111111111" customWidth="1"/>
    <col min="2" max="2" width="20" customWidth="1"/>
    <col min="3" max="3" width="12" customWidth="1"/>
    <col min="4" max="5" width="15" customWidth="1"/>
    <col min="6" max="6" width="35" customWidth="1"/>
    <col min="7" max="8" width="12" customWidth="1"/>
    <col min="9" max="11" width="18" customWidth="1"/>
  </cols>
  <sheetData>
    <row r="1" ht="25" customHeight="1" spans="1:9">
      <c r="A1" s="1" t="s">
        <v>0</v>
      </c>
    </row>
    <row r="2" ht="15.15" spans="1:9">
      <c r="I2" s="2" t="s">
        <v>1</v>
      </c>
    </row>
    <row r="3" spans="1:9">
      <c r="A3" s="3" t="s">
        <v>2</v>
      </c>
    </row>
    <row r="4" spans="1:9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9">
      <c r="A5" s="5">
        <v>1</v>
      </c>
      <c r="B5" s="5" t="s">
        <v>10</v>
      </c>
      <c r="C5" s="6">
        <v>0.5048</v>
      </c>
      <c r="D5" s="5" t="s">
        <v>11</v>
      </c>
      <c r="E5" s="5">
        <v>26000</v>
      </c>
      <c r="F5" s="5">
        <f>C5*E5</f>
        <v>13124.8</v>
      </c>
      <c r="G5" s="5" t="s">
        <v>12</v>
      </c>
    </row>
    <row r="6" spans="1:9">
      <c r="A6" s="5">
        <v>2</v>
      </c>
      <c r="B6" s="5" t="s">
        <v>13</v>
      </c>
      <c r="C6" s="6">
        <v>0.2495</v>
      </c>
      <c r="D6" s="5" t="s">
        <v>11</v>
      </c>
      <c r="E6" s="5">
        <v>10460</v>
      </c>
      <c r="F6" s="5">
        <f>C6*E6</f>
        <v>2609.77</v>
      </c>
      <c r="G6" s="5" t="s">
        <v>12</v>
      </c>
    </row>
    <row r="7" spans="1:9">
      <c r="A7" s="5">
        <v>3</v>
      </c>
      <c r="B7" s="5" t="s">
        <v>14</v>
      </c>
      <c r="C7" s="6">
        <v>0.2457</v>
      </c>
      <c r="D7" s="5" t="s">
        <v>11</v>
      </c>
      <c r="E7" s="5">
        <v>10100</v>
      </c>
      <c r="F7" s="5">
        <f>C7*E7</f>
        <v>2481.57</v>
      </c>
      <c r="G7" s="5" t="s">
        <v>15</v>
      </c>
    </row>
    <row r="8" spans="1:9">
      <c r="A8" s="4" t="s">
        <v>16</v>
      </c>
      <c r="C8" s="6">
        <f>SUM(C5:C7)</f>
        <v>1</v>
      </c>
      <c r="D8" s="7" t="s">
        <v>17</v>
      </c>
      <c r="F8" s="8">
        <f>SUM(F5:F7)</f>
        <v>18216.14</v>
      </c>
    </row>
    <row r="10" spans="1:9">
      <c r="A10" s="3" t="s">
        <v>18</v>
      </c>
    </row>
    <row r="11" spans="1:9">
      <c r="A11" s="4" t="s">
        <v>3</v>
      </c>
      <c r="B11" s="4" t="s">
        <v>19</v>
      </c>
      <c r="C11" s="4" t="s">
        <v>6</v>
      </c>
      <c r="D11" s="4" t="s">
        <v>20</v>
      </c>
      <c r="E11" s="4" t="s">
        <v>21</v>
      </c>
      <c r="F11" s="4" t="s">
        <v>22</v>
      </c>
    </row>
    <row r="12" spans="1:9">
      <c r="A12" s="5">
        <v>1</v>
      </c>
      <c r="B12" s="5" t="s">
        <v>23</v>
      </c>
      <c r="C12" s="5" t="s">
        <v>24</v>
      </c>
      <c r="D12" s="5">
        <f>F8</f>
        <v>18216.14</v>
      </c>
      <c r="E12" s="9">
        <f t="shared" ref="E12:E19" si="0">D12</f>
        <v>18216.14</v>
      </c>
      <c r="F12" s="5" t="s">
        <v>25</v>
      </c>
    </row>
    <row r="13" spans="1:9">
      <c r="A13" s="5">
        <v>2</v>
      </c>
      <c r="B13" s="5" t="s">
        <v>26</v>
      </c>
      <c r="C13" s="5" t="s">
        <v>27</v>
      </c>
      <c r="D13" s="10">
        <v>0.02</v>
      </c>
      <c r="E13" s="5">
        <f t="shared" si="0"/>
        <v>0.02</v>
      </c>
      <c r="F13" s="5" t="s">
        <v>28</v>
      </c>
    </row>
    <row r="14" spans="1:9">
      <c r="A14" s="5">
        <v>3</v>
      </c>
      <c r="B14" s="5" t="s">
        <v>29</v>
      </c>
      <c r="C14" s="5" t="s">
        <v>24</v>
      </c>
      <c r="D14" s="5">
        <f>E12*D13/(1-D13)</f>
        <v>371.757959183674</v>
      </c>
      <c r="E14" s="9">
        <f t="shared" si="0"/>
        <v>371.757959183674</v>
      </c>
      <c r="F14" s="5" t="s">
        <v>30</v>
      </c>
    </row>
    <row r="15" spans="1:9">
      <c r="A15" s="5">
        <v>4</v>
      </c>
      <c r="B15" s="5" t="s">
        <v>31</v>
      </c>
      <c r="C15" s="5" t="s">
        <v>24</v>
      </c>
      <c r="D15" s="5">
        <f>E12+E14</f>
        <v>18587.8979591837</v>
      </c>
      <c r="E15" s="9">
        <f t="shared" si="0"/>
        <v>18587.8979591837</v>
      </c>
      <c r="F15" s="5" t="s">
        <v>32</v>
      </c>
    </row>
    <row r="16" spans="1:9">
      <c r="A16" s="5">
        <v>5</v>
      </c>
      <c r="B16" s="5" t="s">
        <v>33</v>
      </c>
      <c r="C16" s="5" t="s">
        <v>27</v>
      </c>
      <c r="D16" s="10">
        <v>0.038</v>
      </c>
      <c r="E16" s="5">
        <f t="shared" si="0"/>
        <v>0.038</v>
      </c>
      <c r="F16" s="5" t="s">
        <v>34</v>
      </c>
    </row>
    <row r="17" spans="1:6">
      <c r="A17" s="5">
        <v>6</v>
      </c>
      <c r="B17" s="5" t="s">
        <v>35</v>
      </c>
      <c r="C17" s="5" t="s">
        <v>24</v>
      </c>
      <c r="D17" s="5">
        <f>D15*D16/(1-D16)</f>
        <v>734.241291527006</v>
      </c>
      <c r="E17" s="9">
        <f t="shared" si="0"/>
        <v>734.241291527006</v>
      </c>
      <c r="F17" s="5" t="s">
        <v>36</v>
      </c>
    </row>
    <row r="18" spans="1:6">
      <c r="A18" s="5">
        <v>7</v>
      </c>
      <c r="B18" s="5" t="s">
        <v>37</v>
      </c>
      <c r="C18" s="5" t="s">
        <v>11</v>
      </c>
      <c r="D18" s="7">
        <v>1200</v>
      </c>
      <c r="E18" s="9">
        <f t="shared" si="0"/>
        <v>1200</v>
      </c>
      <c r="F18" s="5" t="s">
        <v>38</v>
      </c>
    </row>
    <row r="19" ht="15.6" spans="1:6">
      <c r="A19" s="5">
        <v>8</v>
      </c>
      <c r="B19" s="11" t="s">
        <v>39</v>
      </c>
      <c r="C19" s="5" t="s">
        <v>24</v>
      </c>
      <c r="D19" s="5">
        <f>D15+E17+E18</f>
        <v>20522.1392507107</v>
      </c>
      <c r="E19" s="12">
        <f t="shared" si="0"/>
        <v>20522.1392507107</v>
      </c>
      <c r="F19" s="5" t="s">
        <v>40</v>
      </c>
    </row>
    <row r="21" spans="1:6">
      <c r="A21" s="13" t="s">
        <v>41</v>
      </c>
    </row>
    <row r="22" ht="120" customHeight="1" spans="1:6">
      <c r="A22" s="14" t="s">
        <v>42</v>
      </c>
    </row>
    <row r="28" ht="27" customHeight="1"/>
    <row r="30" spans="1:6">
      <c r="A30" s="13" t="s">
        <v>43</v>
      </c>
    </row>
    <row r="31" spans="1:6">
      <c r="A31" s="4" t="s">
        <v>44</v>
      </c>
      <c r="B31" s="4" t="s">
        <v>45</v>
      </c>
      <c r="C31" s="4" t="s">
        <v>46</v>
      </c>
      <c r="D31" s="4" t="s">
        <v>47</v>
      </c>
      <c r="E31" s="4" t="s">
        <v>48</v>
      </c>
      <c r="F31" s="4" t="s">
        <v>49</v>
      </c>
    </row>
    <row r="32" spans="1:6">
      <c r="A32" s="5" t="s">
        <v>50</v>
      </c>
      <c r="B32" s="9">
        <f>D15/(1+D13)</f>
        <v>18223.4293717487</v>
      </c>
      <c r="C32" s="9">
        <f>B32</f>
        <v>18223.4293717487</v>
      </c>
      <c r="D32" s="9">
        <f>D15</f>
        <v>18587.8979591837</v>
      </c>
      <c r="E32" s="9">
        <f>C32-D32</f>
        <v>-364.468587434974</v>
      </c>
      <c r="F32" s="15" t="str">
        <f>IF(ABS(E32)&lt;0.01,"✓通过","✗失败")</f>
        <v>✗失败</v>
      </c>
    </row>
    <row r="33" spans="1:6">
      <c r="A33" s="5" t="s">
        <v>51</v>
      </c>
      <c r="B33" s="9">
        <f>D15/(1+D16)</f>
        <v>17907.416145649</v>
      </c>
      <c r="C33" s="9">
        <f>B33</f>
        <v>17907.416145649</v>
      </c>
      <c r="D33" s="9">
        <f>E12</f>
        <v>18216.14</v>
      </c>
      <c r="E33" s="9">
        <f>C33-D33</f>
        <v>-308.723854350988</v>
      </c>
      <c r="F33" s="15" t="str">
        <f>IF(ABS(E33)&lt;0.01,"✓通过","✗失败")</f>
        <v>✗失败</v>
      </c>
    </row>
    <row r="34" spans="1:6">
      <c r="A34" s="5" t="s">
        <v>52</v>
      </c>
      <c r="B34" s="9">
        <f>D19*(1-D13)*(1-D16)</f>
        <v>19347.452</v>
      </c>
      <c r="C34" s="9">
        <f>B34</f>
        <v>19347.452</v>
      </c>
      <c r="D34" s="9">
        <f>E12</f>
        <v>18216.14</v>
      </c>
      <c r="E34" s="9">
        <f>C34-D34</f>
        <v>1131.312</v>
      </c>
      <c r="F34" s="15" t="str">
        <f>IF(ABS(E34)&lt;1,"✓通过","✗失败")</f>
        <v>✗失败</v>
      </c>
    </row>
  </sheetData>
  <mergeCells count="8">
    <mergeCell ref="A1:K1"/>
    <mergeCell ref="A3:K3"/>
    <mergeCell ref="D8:E8"/>
    <mergeCell ref="A10:K10"/>
    <mergeCell ref="A21:K21"/>
    <mergeCell ref="A30:K30"/>
    <mergeCell ref="A22:K28"/>
    <mergeCell ref="I2:K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来料加工报价单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Kobe Stefanie</cp:lastModifiedBy>
  <dcterms:created xsi:type="dcterms:W3CDTF">2026-08-24T03:53:00Z</dcterms:created>
  <dcterms:modified xsi:type="dcterms:W3CDTF">2026-08-24T08:58:58Z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DB90B12A5DF54990BFE061A69A6C052A_12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