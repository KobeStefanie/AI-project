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-项目\12-成本控制\织造部成本核算\"/>
    </mc:Choice>
  </mc:AlternateContent>
  <bookViews>
    <workbookView windowWidth="22188" windowHeight="9060"/>
  </bookViews>
  <sheets>
    <sheet name="报价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<sst xmlns="http://schemas.openxmlformats.org/spreadsheetml/2006/main" count="86" uniqueCount="67">
  <si>
    <t>来料加工报价单</t>
  </si>
  <si>
    <t>客户名称：</t>
  </si>
  <si>
    <t>[待填写]</t>
  </si>
  <si>
    <t>报价日期：</t>
  </si>
  <si>
    <t>产品名称：</t>
  </si>
  <si>
    <t>有效期：</t>
  </si>
  <si>
    <t>30天</t>
  </si>
  <si>
    <t>一、原材料成本明细（按成品1公斤计算）</t>
  </si>
  <si>
    <t>序号</t>
  </si>
  <si>
    <t>材料名称</t>
  </si>
  <si>
    <t>工艺占比</t>
  </si>
  <si>
    <t>单位</t>
  </si>
  <si>
    <t>单价(元)</t>
  </si>
  <si>
    <t>材料成本(元)</t>
  </si>
  <si>
    <t>备注</t>
  </si>
  <si>
    <t>1</t>
  </si>
  <si>
    <t>40S棉纱</t>
  </si>
  <si>
    <t>元/吨</t>
  </si>
  <si>
    <t>主料</t>
  </si>
  <si>
    <t>2</t>
  </si>
  <si>
    <t>75D丝</t>
  </si>
  <si>
    <t>辅料</t>
  </si>
  <si>
    <t>3</t>
  </si>
  <si>
    <t>150D丝</t>
  </si>
  <si>
    <t>合计</t>
  </si>
  <si>
    <t>材料成本小计</t>
  </si>
  <si>
    <t>二、加工成本明细</t>
  </si>
  <si>
    <t>项目</t>
  </si>
  <si>
    <t>费率/单价</t>
  </si>
  <si>
    <t>金额(元/公斤)</t>
  </si>
  <si>
    <t>计算说明</t>
  </si>
  <si>
    <t>材料成本</t>
  </si>
  <si>
    <t>元/公斤</t>
  </si>
  <si>
    <t>来自第一部分</t>
  </si>
  <si>
    <t>欠重率</t>
  </si>
  <si>
    <t>%</t>
  </si>
  <si>
    <t>材料采购实际短缺</t>
  </si>
  <si>
    <t>欠重金额</t>
  </si>
  <si>
    <t>欠重成本增加</t>
  </si>
  <si>
    <t>4</t>
  </si>
  <si>
    <t>到厂净重成本</t>
  </si>
  <si>
    <t>扣除欠重后</t>
  </si>
  <si>
    <t>5</t>
  </si>
  <si>
    <t>织损率</t>
  </si>
  <si>
    <t>织布过程物理损耗</t>
  </si>
  <si>
    <t>6</t>
  </si>
  <si>
    <t>织损金额</t>
  </si>
  <si>
    <t>织损成本增加</t>
  </si>
  <si>
    <t>7</t>
  </si>
  <si>
    <t>织布人工</t>
  </si>
  <si>
    <t>按公斤计费</t>
  </si>
  <si>
    <t>8</t>
  </si>
  <si>
    <t>坯布成本合计</t>
  </si>
  <si>
    <t/>
  </si>
  <si>
    <t>最终报价</t>
  </si>
  <si>
    <t>三、报价总结</t>
  </si>
  <si>
    <t>坯布单价：</t>
  </si>
  <si>
    <t>四、公式验证（内部用，对外报价时可隐藏此部分）</t>
  </si>
  <si>
    <t>验证项</t>
  </si>
  <si>
    <t>计算公式</t>
  </si>
  <si>
    <t>结果</t>
  </si>
  <si>
    <t>状态</t>
  </si>
  <si>
    <t>扣除欠重验证</t>
  </si>
  <si>
    <t>元</t>
  </si>
  <si>
    <t>扣除织损验证</t>
  </si>
  <si>
    <t>完整验证</t>
  </si>
  <si>
    <t>备注：1. 黄色单元格为需要填写或调整的参数  2. 报价有效期30天  3. 验证区域对外报价时可隐藏  4. 所有金额保留四位小数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</si>
</sst>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%"/>
    <numFmt numFmtId="177" formatCode="0.0000"/>
  </numFmts>
  <fonts count="28">
    <font>
      <sz val="11"/>
      <color theme="1"/>
      <name val="宋体"/>
      <charset val="134"/>
      <scheme val="minor"/>
    </font>
    <font>
      <b/>
      <sz val="16"/>
      <color rgb="FFFFFFFF"/>
      <name val="微软雅黑"/>
      <charset val="134"/>
    </font>
    <font>
      <b/>
      <sz val="10"/>
      <name val="微软雅黑"/>
      <charset val="134"/>
    </font>
    <font>
      <b/>
      <sz val="11"/>
      <color rgb="FFFFFFFF"/>
      <name val="微软雅黑"/>
      <charset val="134"/>
    </font>
    <font>
      <b/>
      <sz val="12"/>
      <name val="微软雅黑"/>
      <charset val="134"/>
    </font>
    <font>
      <b/>
      <sz val="14"/>
      <color rgb="FFC00000"/>
      <name val="微软雅黑"/>
      <charset val="134"/>
    </font>
    <font>
      <sz val="12"/>
      <name val="微软雅黑"/>
      <charset val="134"/>
    </font>
    <font>
      <sz val="9"/>
      <color rgb="FF7F7F7F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C6E0B4"/>
        <bgColor rgb="FFC6E0B4"/>
      </patternFill>
    </fill>
    <fill>
      <patternFill patternType="solid">
        <fgColor rgb="FFA9D08E"/>
        <bgColor rgb="FFA9D08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10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0" fillId="3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6" fontId="0" fillId="3" borderId="1" xfId="0" applyNumberFormat="1" applyFill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5" borderId="1" xfId="0" applyNumberFormat="1" applyFont="1" applyFill="1" applyBorder="1" applyAlignment="1">
      <alignment horizontal="center" vertical="center" wrapText="1"/>
    </xf>
    <xf numFmtId="177" fontId="2" fillId="5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1" xfId="0" applyBorder="1" applyAlignment="1">
      <alignment horizontal="left" vertical="center" wrapText="1"/>
    </xf>
    <xf numFmtId="177" fontId="0" fillId="3" borderId="1" xfId="0" applyNumberForma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177" fontId="5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abSelected="1" workbookViewId="0">
      <selection activeCell="F17" sqref="F17:G17"/>
    </sheetView>
  </sheetViews>
  <sheetFormatPr defaultColWidth="9" defaultRowHeight="14.4" outlineLevelCol="6"/>
  <cols>
    <col min="1" max="1" width="8" customWidth="1"/>
    <col min="2" max="2" width="18" customWidth="1"/>
    <col min="3" max="3" width="12" customWidth="1"/>
    <col min="4" max="4" width="10" customWidth="1"/>
    <col min="5" max="5" width="12" customWidth="1"/>
    <col min="6" max="6" width="15" customWidth="1"/>
    <col min="7" max="7" width="20" customWidth="1"/>
  </cols>
  <sheetData>
    <row r="1" ht="30" customHeight="1" spans="1:7">
      <c r="A1" s="1" t="s">
        <v>0</v>
      </c>
    </row>
    <row r="2" ht="15.6" spans="1:7">
      <c r="A2" s="2" t="s">
        <v>1</v>
      </c>
      <c r="B2" s="3" t="s">
        <v>2</v>
      </c>
      <c r="E2" s="2" t="s">
        <v>3</v>
      </c>
      <c r="F2" s="4" t="str">
        <f ca="1">TEXT(TODAY(),"yyyy-mm-dd")</f>
        <v>2026-08-24</v>
      </c>
    </row>
    <row r="3" ht="15.6" spans="1:7">
      <c r="A3" s="2" t="s">
        <v>4</v>
      </c>
      <c r="B3" s="3" t="s">
        <v>2</v>
      </c>
      <c r="E3" s="2" t="s">
        <v>5</v>
      </c>
      <c r="F3" s="4" t="s">
        <v>6</v>
      </c>
    </row>
    <row r="5" ht="16.2" spans="1:7">
      <c r="A5" s="5" t="s">
        <v>7</v>
      </c>
    </row>
    <row r="6" ht="15.6" spans="1:7">
      <c r="A6" s="6" t="s">
        <v>8</v>
      </c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  <c r="G6" s="6" t="s">
        <v>14</v>
      </c>
    </row>
    <row r="7" spans="1:7">
      <c r="A7" s="7" t="s">
        <v>15</v>
      </c>
      <c r="B7" s="7" t="s">
        <v>16</v>
      </c>
      <c r="C7" s="8">
        <v>0.5048</v>
      </c>
      <c r="D7" s="7" t="s">
        <v>17</v>
      </c>
      <c r="E7" s="7">
        <v>26000</v>
      </c>
      <c r="F7" s="9">
        <f>E7*C7/1000</f>
        <v>13.1248</v>
      </c>
      <c r="G7" s="7" t="s">
        <v>18</v>
      </c>
    </row>
    <row r="8" spans="1:7">
      <c r="A8" s="7" t="s">
        <v>19</v>
      </c>
      <c r="B8" s="7" t="s">
        <v>20</v>
      </c>
      <c r="C8" s="8">
        <v>0.2495</v>
      </c>
      <c r="D8" s="7" t="s">
        <v>17</v>
      </c>
      <c r="E8" s="7">
        <v>10460</v>
      </c>
      <c r="F8" s="9">
        <f>E8*C8/1000</f>
        <v>2.60977</v>
      </c>
      <c r="G8" s="7" t="s">
        <v>21</v>
      </c>
    </row>
    <row r="9" spans="1:7">
      <c r="A9" s="7" t="s">
        <v>22</v>
      </c>
      <c r="B9" s="7" t="s">
        <v>23</v>
      </c>
      <c r="C9" s="8">
        <v>0.2457</v>
      </c>
      <c r="D9" s="7" t="s">
        <v>17</v>
      </c>
      <c r="E9" s="7">
        <v>10100</v>
      </c>
      <c r="F9" s="9">
        <f>E9*C9/1000</f>
        <v>2.48157</v>
      </c>
      <c r="G9" s="7" t="s">
        <v>21</v>
      </c>
    </row>
    <row r="10" ht="15.6" spans="1:7">
      <c r="A10" s="10" t="s">
        <v>24</v>
      </c>
      <c r="C10" s="11">
        <f>SUM(C7:C9)</f>
        <v>1</v>
      </c>
      <c r="D10" s="10" t="s">
        <v>25</v>
      </c>
      <c r="F10" s="12">
        <f>SUM(F7:F9)</f>
        <v>18.21614</v>
      </c>
    </row>
    <row r="12" ht="16.2" spans="1:7">
      <c r="A12" s="5" t="s">
        <v>26</v>
      </c>
    </row>
    <row r="13" ht="31.2" spans="1:7">
      <c r="A13" s="6" t="s">
        <v>8</v>
      </c>
      <c r="B13" s="6" t="s">
        <v>27</v>
      </c>
      <c r="C13" s="6" t="s">
        <v>28</v>
      </c>
      <c r="D13" s="6" t="s">
        <v>11</v>
      </c>
      <c r="E13" s="6" t="s">
        <v>29</v>
      </c>
      <c r="F13" s="6" t="s">
        <v>30</v>
      </c>
      <c r="G13" s="13"/>
    </row>
    <row r="14" spans="1:7">
      <c r="A14" s="7" t="s">
        <v>15</v>
      </c>
      <c r="B14" s="7" t="s">
        <v>31</v>
      </c>
      <c r="C14" s="9">
        <f>F10</f>
        <v>18.21614</v>
      </c>
      <c r="D14" s="7" t="s">
        <v>32</v>
      </c>
      <c r="E14" s="9">
        <f>F10</f>
        <v>18.21614</v>
      </c>
      <c r="F14" s="14" t="s">
        <v>33</v>
      </c>
      <c r="G14" s="13"/>
    </row>
    <row r="15" spans="1:7">
      <c r="A15" s="7" t="s">
        <v>19</v>
      </c>
      <c r="B15" s="7" t="s">
        <v>34</v>
      </c>
      <c r="C15" s="8">
        <v>0.03</v>
      </c>
      <c r="D15" s="7" t="s">
        <v>35</v>
      </c>
      <c r="E15" s="9">
        <f>E14*C15/(1-C15)</f>
        <v>0.563385773195876</v>
      </c>
      <c r="F15" s="14" t="s">
        <v>36</v>
      </c>
      <c r="G15" s="13"/>
    </row>
    <row r="16" spans="1:7">
      <c r="A16" s="7" t="s">
        <v>22</v>
      </c>
      <c r="B16" s="7" t="s">
        <v>37</v>
      </c>
      <c r="C16" s="9">
        <f>E15</f>
        <v>0.563385773195876</v>
      </c>
      <c r="D16" s="7" t="s">
        <v>32</v>
      </c>
      <c r="E16" s="9">
        <f>E15</f>
        <v>0.563385773195876</v>
      </c>
      <c r="F16" s="14" t="s">
        <v>38</v>
      </c>
      <c r="G16" s="13"/>
    </row>
    <row r="17" spans="1:7">
      <c r="A17" s="7" t="s">
        <v>39</v>
      </c>
      <c r="B17" s="7" t="s">
        <v>40</v>
      </c>
      <c r="C17" s="9">
        <f>E14+E16</f>
        <v>18.7795257731959</v>
      </c>
      <c r="D17" s="7" t="s">
        <v>32</v>
      </c>
      <c r="E17" s="9">
        <f>E14+E16</f>
        <v>18.7795257731959</v>
      </c>
      <c r="F17" s="14" t="s">
        <v>41</v>
      </c>
      <c r="G17" s="13"/>
    </row>
    <row r="18" spans="1:7">
      <c r="A18" s="7" t="s">
        <v>42</v>
      </c>
      <c r="B18" s="7" t="s">
        <v>43</v>
      </c>
      <c r="C18" s="8">
        <v>0.02</v>
      </c>
      <c r="D18" s="7" t="s">
        <v>35</v>
      </c>
      <c r="E18" s="9">
        <f>E17*C18/(1-C18)</f>
        <v>0.383255628024406</v>
      </c>
      <c r="F18" s="14" t="s">
        <v>44</v>
      </c>
      <c r="G18" s="13"/>
    </row>
    <row r="19" spans="1:7">
      <c r="A19" s="7" t="s">
        <v>45</v>
      </c>
      <c r="B19" s="7" t="s">
        <v>46</v>
      </c>
      <c r="C19" s="9">
        <f ca="1">E19</f>
        <v>0</v>
      </c>
      <c r="D19" s="7" t="s">
        <v>32</v>
      </c>
      <c r="E19" s="9">
        <f ca="1">E19</f>
        <v>0</v>
      </c>
      <c r="F19" s="14" t="s">
        <v>47</v>
      </c>
      <c r="G19" s="13"/>
    </row>
    <row r="20" spans="1:7">
      <c r="A20" s="7" t="s">
        <v>48</v>
      </c>
      <c r="B20" s="7" t="s">
        <v>49</v>
      </c>
      <c r="C20" s="15">
        <v>1.2</v>
      </c>
      <c r="D20" s="7" t="s">
        <v>32</v>
      </c>
      <c r="E20" s="9">
        <v>1.2</v>
      </c>
      <c r="F20" s="14" t="s">
        <v>50</v>
      </c>
      <c r="G20" s="13"/>
    </row>
    <row r="21" ht="15.6" spans="1:7">
      <c r="A21" s="10" t="s">
        <v>51</v>
      </c>
      <c r="B21" s="10" t="s">
        <v>52</v>
      </c>
      <c r="C21" s="10" t="s">
        <v>53</v>
      </c>
      <c r="D21" s="10" t="s">
        <v>32</v>
      </c>
      <c r="E21" s="12">
        <f ca="1">E17+E19+E20</f>
        <v>0</v>
      </c>
      <c r="F21" s="16" t="s">
        <v>54</v>
      </c>
      <c r="G21" s="13"/>
    </row>
    <row r="25" ht="16.2" spans="1:7">
      <c r="A25" s="5" t="s">
        <v>55</v>
      </c>
    </row>
    <row r="26" ht="20.4" spans="1:7">
      <c r="A26" s="17" t="s">
        <v>56</v>
      </c>
      <c r="B26" s="18">
        <f ca="1">E21</f>
        <v>0</v>
      </c>
      <c r="E26" s="19" t="s">
        <v>32</v>
      </c>
    </row>
    <row r="28" ht="16.2" spans="1:7">
      <c r="A28" s="20" t="s">
        <v>57</v>
      </c>
    </row>
    <row r="29" ht="15.6" spans="1:7">
      <c r="A29" s="6" t="s">
        <v>58</v>
      </c>
      <c r="B29" s="6" t="s">
        <v>59</v>
      </c>
      <c r="C29" s="6" t="s">
        <v>60</v>
      </c>
      <c r="D29" s="6" t="s">
        <v>11</v>
      </c>
      <c r="E29" s="6" t="s">
        <v>61</v>
      </c>
    </row>
    <row r="30" ht="28.8" spans="1:7">
      <c r="A30" s="7" t="s">
        <v>62</v>
      </c>
      <c r="B30" s="7">
        <f>(F10+E16)*(1-C15)</f>
        <v>18.21614</v>
      </c>
      <c r="C30" s="9">
        <f>(F10+E16)*(1-C15)</f>
        <v>18.21614</v>
      </c>
      <c r="D30" s="7" t="s">
        <v>63</v>
      </c>
      <c r="E30" s="10" t="str">
        <f>IF(ABS(C30-E17)&lt;0.01,"✓通过","✗失败")</f>
        <v>✗失败</v>
      </c>
    </row>
    <row r="31" ht="28.8" spans="1:7">
      <c r="A31" s="7" t="s">
        <v>64</v>
      </c>
      <c r="B31" s="7">
        <f>(E17+E20)*(1-C18)</f>
        <v>19.579935257732</v>
      </c>
      <c r="C31" s="9">
        <f>(E17+E20)*(1-C18)</f>
        <v>19.579935257732</v>
      </c>
      <c r="D31" s="7" t="s">
        <v>63</v>
      </c>
      <c r="E31" s="10" t="str">
        <f>IF(ABS(C31-F10)&lt;0.01,"✓通过","✗失败")</f>
        <v>✗失败</v>
      </c>
    </row>
    <row r="32" ht="28.8" spans="1:7">
      <c r="A32" s="7" t="s">
        <v>65</v>
      </c>
      <c r="B32" s="7">
        <f>(E23-E22)*(1-C18)*(1-C15)</f>
        <v>0</v>
      </c>
      <c r="C32" s="9">
        <f>(E23-E22)*(1-C18)*(1-C15)</f>
        <v>0</v>
      </c>
      <c r="D32" s="7" t="s">
        <v>63</v>
      </c>
      <c r="E32" s="10" t="str">
        <f>IF(ABS(C32-F10)&lt;0.01,"✓通过","✗失败")</f>
        <v>✗失败</v>
      </c>
    </row>
    <row r="34" spans="1:1">
      <c r="A34" s="21" t="s">
        <v>66</v>
      </c>
    </row>
  </sheetData>
  <mergeCells count="24">
    <mergeCell ref="A1:G1"/>
    <mergeCell ref="B2:C2"/>
    <mergeCell ref="F2:G2"/>
    <mergeCell ref="B3:C3"/>
    <mergeCell ref="F3:G3"/>
    <mergeCell ref="A5:G5"/>
    <mergeCell ref="D10:E10"/>
    <mergeCell ref="A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A25:G25"/>
    <mergeCell ref="B26:D26"/>
    <mergeCell ref="A28:G28"/>
    <mergeCell ref="F30:G30"/>
    <mergeCell ref="F31:G31"/>
    <mergeCell ref="F32:G32"/>
    <mergeCell ref="A34:G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报价单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Kobe Stefanie</cp:lastModifiedBy>
  <dcterms:created xsi:type="dcterms:W3CDTF">2026-08-24T05:32:00Z</dcterms:created>
  <dcterms:modified xsi:type="dcterms:W3CDTF">2026-08-24T08:59:14Z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246AB67219E84D3D8B696EB406E99AC2_12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