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项目\12-成本控制\织造部成本核算\"/>
    </mc:Choice>
  </mc:AlternateContent>
  <bookViews>
    <workbookView windowWidth="22188" windowHeight="9060"/>
  </bookViews>
  <sheets>
    <sheet name="报价公式对比验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<sst xmlns="http://schemas.openxmlformats.org/spreadsheetml/2006/main" count="128" uniqueCount="67">
  <si>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来料加工报价公式对比验证（用数字说话）</t>
  </si>
  <si>
    <t>【基础参数】</t>
  </si>
  <si>
    <t>客户要求成品材料成本</t>
  </si>
  <si>
    <t>元</t>
  </si>
  <si>
    <t>欠重率</t>
  </si>
  <si>
    <t>（客户供料实际短缺）</t>
  </si>
  <si>
    <t>织损率</t>
  </si>
  <si>
    <t>（加工过程物理损耗）</t>
  </si>
  <si>
    <t>【错误算法】相加法（价格附加思维）❌</t>
  </si>
  <si>
    <t>步骤</t>
  </si>
  <si>
    <t>项目</t>
  </si>
  <si>
    <t>计算公式（文字说明）</t>
  </si>
  <si>
    <t>计算公式（Excel）</t>
  </si>
  <si>
    <t>结果</t>
  </si>
  <si>
    <t>单位</t>
  </si>
  <si>
    <t>说明</t>
  </si>
  <si>
    <t>1</t>
  </si>
  <si>
    <t>材料成本（目标）</t>
  </si>
  <si>
    <t>假设</t>
  </si>
  <si>
    <t>客户要的成品价值</t>
  </si>
  <si>
    <t>2</t>
  </si>
  <si>
    <t>欠重金额（错误）</t>
  </si>
  <si>
    <t>材料成本 × 欠重率</t>
  </si>
  <si>
    <t>当成价格附加</t>
  </si>
  <si>
    <t>3</t>
  </si>
  <si>
    <t>到厂净重需求（错误）</t>
  </si>
  <si>
    <t>材料成本 + 欠重金额</t>
  </si>
  <si>
    <t>简单相加</t>
  </si>
  <si>
    <t>4</t>
  </si>
  <si>
    <t>织损金额（错误）</t>
  </si>
  <si>
    <t>净重 × 织损率</t>
  </si>
  <si>
    <t>5</t>
  </si>
  <si>
    <t>需要供料（错误）</t>
  </si>
  <si>
    <t>净重 + 织损金额</t>
  </si>
  <si>
    <t>❌ 错误报价</t>
  </si>
  <si>
    <t>【验证错误算法】正向推算</t>
  </si>
  <si>
    <t>客户供料</t>
  </si>
  <si>
    <t>按错误报价</t>
  </si>
  <si>
    <t>扣除欠重3%</t>
  </si>
  <si>
    <t>供料 × (1-欠重率)</t>
  </si>
  <si>
    <t>扣除织损2%</t>
  </si>
  <si>
    <t>到厂净重 × (1-织损率)</t>
  </si>
  <si>
    <t>【正确算法】除法（物理损耗思维）✓</t>
  </si>
  <si>
    <t>反推织损前（到厂净重）</t>
  </si>
  <si>
    <t>材料成本 ÷ (1-织损率)</t>
  </si>
  <si>
    <t>要产1000，损耗2%，需要X
X×(1-2%)=1000</t>
  </si>
  <si>
    <t>织损金额</t>
  </si>
  <si>
    <t>到厂净重 - 材料成本</t>
  </si>
  <si>
    <t>织损造成的成本增加</t>
  </si>
  <si>
    <t>反推欠重前（供料）</t>
  </si>
  <si>
    <t>到厂净重 ÷ (1-欠重率)</t>
  </si>
  <si>
    <t>到厂要1020.41，欠重3%，需要Y
Y×(1-3%)=1020.41</t>
  </si>
  <si>
    <t>欠重金额</t>
  </si>
  <si>
    <t>供料 - 到厂净重</t>
  </si>
  <si>
    <t>欠重造成的成本增加</t>
  </si>
  <si>
    <t>【验证正确算法】正向推算</t>
  </si>
  <si>
    <t>按正确报价</t>
  </si>
  <si>
    <t>【两种算法对比汇总】</t>
  </si>
  <si>
    <t>对比项</t>
  </si>
  <si>
    <t>错误算法（相加）</t>
  </si>
  <si>
    <t>正确算法（除法）</t>
  </si>
  <si>
    <t>差额</t>
  </si>
  <si>
    <t>利润影响</t>
  </si>
  <si>
    <t>报价</t>
  </si>
  <si>
    <t/>
  </si>
  <si>
    <t>实际产出</t>
  </si>
  <si>
    <t>vs 目标成本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</si>
</sst>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F4E78"/>
      <name val="微软雅黑"/>
      <charset val="134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b/>
      <sz val="12"/>
      <color rgb="FFE74C3C"/>
      <name val="微软雅黑"/>
      <charset val="134"/>
    </font>
    <font>
      <b/>
      <sz val="12"/>
      <color rgb="FF70AD47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1F5FE"/>
        <bgColor rgb="FFE1F5FE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74C3C"/>
        <bgColor rgb="FFE74C3C"/>
      </patternFill>
    </fill>
    <fill>
      <patternFill patternType="solid">
        <fgColor rgb="FFFFEBEE"/>
        <bgColor rgb="FFFFEBEE"/>
      </patternFill>
    </fill>
    <fill>
      <patternFill patternType="solid">
        <fgColor rgb="FF70AD47"/>
        <bgColor rgb="FF70AD47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selection activeCell="D31" sqref="D31"/>
    </sheetView>
  </sheetViews>
  <sheetFormatPr defaultColWidth="9" defaultRowHeight="14.4" outlineLevelCol="7"/>
  <cols>
    <col min="1" max="1" width="8" customWidth="1"/>
    <col min="2" max="2" width="22" customWidth="1"/>
    <col min="3" max="4" width="28" customWidth="1"/>
    <col min="5" max="5" width="15" customWidth="1"/>
    <col min="6" max="6" width="8" customWidth="1"/>
    <col min="7" max="7" width="30" customWidth="1"/>
    <col min="8" max="8" width="12" customWidth="1"/>
  </cols>
  <sheetData>
    <row r="1" ht="30" customHeight="1" spans="1:7">
      <c r="A1" s="1" t="s">
        <v>0</v>
      </c>
    </row>
    <row r="3" ht="17.4" spans="1:7">
      <c r="A3" s="2" t="s">
        <v>1</v>
      </c>
    </row>
    <row r="4" ht="57.6" spans="1:7">
      <c r="A4" s="3" t="s">
        <v>2</v>
      </c>
      <c r="B4" s="3">
        <v>1000</v>
      </c>
      <c r="C4" s="3" t="s">
        <v>3</v>
      </c>
    </row>
    <row r="5" spans="1:7">
      <c r="A5" s="3" t="s">
        <v>4</v>
      </c>
      <c r="B5" s="4">
        <v>0.03</v>
      </c>
      <c r="C5" s="3" t="s">
        <v>5</v>
      </c>
    </row>
    <row r="6" spans="1:7">
      <c r="A6" s="3" t="s">
        <v>6</v>
      </c>
      <c r="B6" s="4">
        <v>0.02</v>
      </c>
      <c r="C6" s="3" t="s">
        <v>7</v>
      </c>
    </row>
    <row r="9" ht="17.4" spans="1:7">
      <c r="A9" s="5" t="s">
        <v>8</v>
      </c>
    </row>
    <row r="10" ht="16.2" spans="1:7">
      <c r="A10" s="6" t="s">
        <v>9</v>
      </c>
      <c r="B10" s="6" t="s">
        <v>10</v>
      </c>
      <c r="C10" s="6" t="s">
        <v>11</v>
      </c>
      <c r="D10" s="6" t="s">
        <v>12</v>
      </c>
      <c r="E10" s="6" t="s">
        <v>13</v>
      </c>
      <c r="F10" s="6" t="s">
        <v>14</v>
      </c>
      <c r="G10" s="6" t="s">
        <v>15</v>
      </c>
    </row>
    <row r="11" spans="1:7">
      <c r="A11" s="7" t="s">
        <v>16</v>
      </c>
      <c r="B11" s="7" t="s">
        <v>17</v>
      </c>
      <c r="C11" s="7" t="s">
        <v>18</v>
      </c>
      <c r="D11" s="7" t="s">
        <v>18</v>
      </c>
      <c r="E11" s="7">
        <v>1000</v>
      </c>
      <c r="F11" s="7" t="s">
        <v>3</v>
      </c>
      <c r="G11" s="8" t="s">
        <v>19</v>
      </c>
    </row>
    <row r="12" spans="1:7">
      <c r="A12" s="7" t="s">
        <v>20</v>
      </c>
      <c r="B12" s="7" t="s">
        <v>21</v>
      </c>
      <c r="C12" s="7" t="s">
        <v>22</v>
      </c>
      <c r="D12" s="7" t="e">
        <f>B11*$B$5</f>
        <v>#VALUE!</v>
      </c>
      <c r="E12" s="9" t="e">
        <f>B12*$B$5</f>
        <v>#VALUE!</v>
      </c>
      <c r="F12" s="7" t="s">
        <v>3</v>
      </c>
      <c r="G12" s="8" t="s">
        <v>23</v>
      </c>
    </row>
    <row r="13" spans="1:7">
      <c r="A13" s="7" t="s">
        <v>24</v>
      </c>
      <c r="B13" s="7" t="s">
        <v>25</v>
      </c>
      <c r="C13" s="7" t="s">
        <v>26</v>
      </c>
      <c r="D13" s="7" t="e">
        <f>B11+E12</f>
        <v>#VALUE!</v>
      </c>
      <c r="E13" s="9" t="e">
        <f>B11+E12</f>
        <v>#VALUE!</v>
      </c>
      <c r="F13" s="7" t="s">
        <v>3</v>
      </c>
      <c r="G13" s="8" t="s">
        <v>27</v>
      </c>
    </row>
    <row r="14" spans="1:7">
      <c r="A14" s="7" t="s">
        <v>28</v>
      </c>
      <c r="B14" s="7" t="s">
        <v>29</v>
      </c>
      <c r="C14" s="7" t="s">
        <v>30</v>
      </c>
      <c r="D14" s="7" t="e">
        <f>E13*$B$6</f>
        <v>#VALUE!</v>
      </c>
      <c r="E14" s="9" t="e">
        <f>E13*$B$6</f>
        <v>#VALUE!</v>
      </c>
      <c r="F14" s="7" t="s">
        <v>3</v>
      </c>
      <c r="G14" s="8" t="s">
        <v>23</v>
      </c>
    </row>
    <row r="15" ht="16.2" spans="1:7">
      <c r="A15" s="10" t="s">
        <v>31</v>
      </c>
      <c r="B15" s="10" t="s">
        <v>32</v>
      </c>
      <c r="C15" s="10" t="s">
        <v>33</v>
      </c>
      <c r="D15" s="10" t="e">
        <f>E13+E14</f>
        <v>#VALUE!</v>
      </c>
      <c r="E15" s="11" t="e">
        <f>E13+E14</f>
        <v>#VALUE!</v>
      </c>
      <c r="F15" s="10" t="s">
        <v>3</v>
      </c>
      <c r="G15" s="12" t="s">
        <v>34</v>
      </c>
    </row>
    <row r="17" ht="17.4" spans="1:7">
      <c r="A17" s="5" t="s">
        <v>35</v>
      </c>
    </row>
    <row r="18" ht="16.2" spans="1:7">
      <c r="A18" s="6" t="s">
        <v>9</v>
      </c>
      <c r="B18" s="6" t="s">
        <v>10</v>
      </c>
      <c r="C18" s="6" t="s">
        <v>11</v>
      </c>
      <c r="D18" s="6" t="s">
        <v>12</v>
      </c>
      <c r="E18" s="6" t="s">
        <v>13</v>
      </c>
      <c r="F18" s="6" t="s">
        <v>14</v>
      </c>
    </row>
    <row r="19" spans="1:7">
      <c r="A19" s="7" t="s">
        <v>16</v>
      </c>
      <c r="B19" s="7" t="s">
        <v>36</v>
      </c>
      <c r="C19" s="7" t="s">
        <v>37</v>
      </c>
      <c r="D19" s="7" t="s">
        <v>37</v>
      </c>
      <c r="E19" s="9" t="e">
        <f>E15</f>
        <v>#VALUE!</v>
      </c>
      <c r="F19" s="7" t="s">
        <v>3</v>
      </c>
    </row>
    <row r="20" spans="1:7">
      <c r="A20" s="7" t="s">
        <v>20</v>
      </c>
      <c r="B20" s="7" t="s">
        <v>38</v>
      </c>
      <c r="C20" s="7" t="s">
        <v>39</v>
      </c>
      <c r="D20" s="7" t="e">
        <f>E19*(1-$B$5)</f>
        <v>#VALUE!</v>
      </c>
      <c r="E20" s="9" t="e">
        <f>E19*(1-$B$5)</f>
        <v>#VALUE!</v>
      </c>
      <c r="F20" s="7" t="s">
        <v>3</v>
      </c>
    </row>
    <row r="21" spans="1:7">
      <c r="A21" s="7" t="s">
        <v>24</v>
      </c>
      <c r="B21" s="7" t="s">
        <v>40</v>
      </c>
      <c r="C21" s="7" t="s">
        <v>41</v>
      </c>
      <c r="D21" s="7" t="e">
        <f>E20*(1-$B$6)</f>
        <v>#VALUE!</v>
      </c>
      <c r="E21" s="9" t="e">
        <f>E20*(1-$B$6)</f>
        <v>#VALUE!</v>
      </c>
      <c r="F21" s="7" t="s">
        <v>3</v>
      </c>
    </row>
    <row r="23" ht="17.4" spans="1:7">
      <c r="A23" s="13" t="e">
        <f>CONCATENATE("❌ 结果：只产出 ",TEXT(E21,"#,##0.00")," 元成品，亏损 ",TEXT($B$4-E21,"#,##0.00")," 元！")</f>
        <v>#VALUE!</v>
      </c>
    </row>
    <row r="26" ht="17.4" spans="1:7">
      <c r="A26" s="14" t="s">
        <v>42</v>
      </c>
    </row>
    <row r="27" ht="16.2" spans="1:7">
      <c r="A27" s="15" t="s">
        <v>9</v>
      </c>
      <c r="B27" s="15" t="s">
        <v>10</v>
      </c>
      <c r="C27" s="15" t="s">
        <v>11</v>
      </c>
      <c r="D27" s="15" t="s">
        <v>12</v>
      </c>
      <c r="E27" s="15" t="s">
        <v>13</v>
      </c>
      <c r="F27" s="15" t="s">
        <v>14</v>
      </c>
      <c r="G27" s="15" t="s">
        <v>15</v>
      </c>
    </row>
    <row r="28" spans="1:7">
      <c r="A28" s="7" t="s">
        <v>16</v>
      </c>
      <c r="B28" s="7" t="s">
        <v>17</v>
      </c>
      <c r="C28" s="7" t="s">
        <v>18</v>
      </c>
      <c r="D28" s="7" t="s">
        <v>18</v>
      </c>
      <c r="E28" s="7">
        <v>1000</v>
      </c>
      <c r="F28" s="7" t="s">
        <v>3</v>
      </c>
      <c r="G28" s="8" t="s">
        <v>19</v>
      </c>
    </row>
    <row r="29" ht="28.8" spans="1:7">
      <c r="A29" s="7" t="s">
        <v>20</v>
      </c>
      <c r="B29" s="7" t="s">
        <v>43</v>
      </c>
      <c r="C29" s="7" t="s">
        <v>44</v>
      </c>
      <c r="D29" s="7" t="e">
        <f>B28/(1-$B$6)</f>
        <v>#VALUE!</v>
      </c>
      <c r="E29" s="9" t="e">
        <f>B28/(1-$B$6)</f>
        <v>#VALUE!</v>
      </c>
      <c r="F29" s="7" t="s">
        <v>3</v>
      </c>
      <c r="G29" s="8" t="s">
        <v>45</v>
      </c>
    </row>
    <row r="30" spans="1:7">
      <c r="A30" s="7" t="s">
        <v>24</v>
      </c>
      <c r="B30" s="7" t="s">
        <v>46</v>
      </c>
      <c r="C30" s="7" t="s">
        <v>47</v>
      </c>
      <c r="D30" s="7" t="e">
        <f>E29-B28</f>
        <v>#VALUE!</v>
      </c>
      <c r="E30" s="9" t="e">
        <f>E29-B28</f>
        <v>#VALUE!</v>
      </c>
      <c r="F30" s="7" t="s">
        <v>3</v>
      </c>
      <c r="G30" s="8" t="s">
        <v>48</v>
      </c>
    </row>
    <row r="31" ht="48.6" spans="1:7">
      <c r="A31" s="10" t="s">
        <v>28</v>
      </c>
      <c r="B31" s="10" t="s">
        <v>49</v>
      </c>
      <c r="C31" s="10" t="s">
        <v>50</v>
      </c>
      <c r="D31" s="10" t="e">
        <f>E29/(1-$B$5)</f>
        <v>#VALUE!</v>
      </c>
      <c r="E31" s="11" t="e">
        <f>E29/(1-$B$5)</f>
        <v>#VALUE!</v>
      </c>
      <c r="F31" s="10" t="s">
        <v>3</v>
      </c>
      <c r="G31" s="12" t="s">
        <v>51</v>
      </c>
    </row>
    <row r="32" spans="1:7">
      <c r="A32" s="7" t="s">
        <v>31</v>
      </c>
      <c r="B32" s="7" t="s">
        <v>52</v>
      </c>
      <c r="C32" s="7" t="s">
        <v>53</v>
      </c>
      <c r="D32" s="7" t="e">
        <f>E31-E29</f>
        <v>#VALUE!</v>
      </c>
      <c r="E32" s="9" t="e">
        <f>E31-E29</f>
        <v>#VALUE!</v>
      </c>
      <c r="F32" s="7" t="s">
        <v>3</v>
      </c>
      <c r="G32" s="8" t="s">
        <v>54</v>
      </c>
    </row>
    <row r="34" ht="17.4" spans="1:6">
      <c r="A34" s="14" t="s">
        <v>55</v>
      </c>
    </row>
    <row r="35" ht="16.2" spans="1:6">
      <c r="A35" s="15" t="s">
        <v>9</v>
      </c>
      <c r="B35" s="15" t="s">
        <v>10</v>
      </c>
      <c r="C35" s="15" t="s">
        <v>11</v>
      </c>
      <c r="D35" s="15" t="s">
        <v>12</v>
      </c>
      <c r="E35" s="15" t="s">
        <v>13</v>
      </c>
      <c r="F35" s="15" t="s">
        <v>14</v>
      </c>
    </row>
    <row r="36" spans="1:6">
      <c r="A36" s="7" t="s">
        <v>16</v>
      </c>
      <c r="B36" s="7" t="s">
        <v>36</v>
      </c>
      <c r="C36" s="7" t="s">
        <v>56</v>
      </c>
      <c r="D36" s="7" t="s">
        <v>56</v>
      </c>
      <c r="E36" s="9" t="e">
        <f>E31</f>
        <v>#VALUE!</v>
      </c>
      <c r="F36" s="7" t="s">
        <v>3</v>
      </c>
    </row>
    <row r="37" spans="1:6">
      <c r="A37" s="7" t="s">
        <v>20</v>
      </c>
      <c r="B37" s="7" t="s">
        <v>38</v>
      </c>
      <c r="C37" s="7" t="s">
        <v>39</v>
      </c>
      <c r="D37" s="7" t="e">
        <f>E36*(1-$B$5)</f>
        <v>#VALUE!</v>
      </c>
      <c r="E37" s="9" t="e">
        <f>E36*(1-$B$5)</f>
        <v>#VALUE!</v>
      </c>
      <c r="F37" s="7" t="s">
        <v>3</v>
      </c>
    </row>
    <row r="38" spans="1:6">
      <c r="A38" s="7" t="s">
        <v>24</v>
      </c>
      <c r="B38" s="7" t="s">
        <v>40</v>
      </c>
      <c r="C38" s="7" t="s">
        <v>41</v>
      </c>
      <c r="D38" s="7" t="e">
        <f>E37*(1-$B$6)</f>
        <v>#VALUE!</v>
      </c>
      <c r="E38" s="9" t="e">
        <f>E37*(1-$B$6)</f>
        <v>#VALUE!</v>
      </c>
      <c r="F38" s="7" t="s">
        <v>3</v>
      </c>
    </row>
    <row r="40" ht="17.4" spans="1:6">
      <c r="A40" s="16" t="e">
        <f>CONCATENATE("✓ 结果：正好产出 ",TEXT(E38,"#,##0.00")," 元成品，偏差 ",TEXT(ABS($B$4-E38),"#,##0.00")," 元（可忽略）")</f>
        <v>#VALUE!</v>
      </c>
    </row>
    <row r="43" ht="17.4" spans="1:6">
      <c r="A43" s="2" t="s">
        <v>57</v>
      </c>
    </row>
    <row r="44" ht="16.2" spans="1:6">
      <c r="A44" s="17" t="s">
        <v>58</v>
      </c>
      <c r="B44" s="17" t="s">
        <v>59</v>
      </c>
      <c r="C44" s="17" t="s">
        <v>60</v>
      </c>
      <c r="D44" s="17" t="s">
        <v>61</v>
      </c>
      <c r="E44" s="17" t="s">
        <v>62</v>
      </c>
    </row>
    <row r="45" spans="1:6">
      <c r="A45" s="7" t="s">
        <v>63</v>
      </c>
      <c r="B45" s="9" t="e">
        <f>E15</f>
        <v>#VALUE!</v>
      </c>
      <c r="C45" s="9" t="e">
        <f>E31</f>
        <v>#VALUE!</v>
      </c>
      <c r="D45" s="9" t="e">
        <f>C45-B45</f>
        <v>#VALUE!</v>
      </c>
      <c r="E45" s="7" t="s">
        <v>64</v>
      </c>
    </row>
    <row r="46" ht="28.8" spans="1:6">
      <c r="A46" s="7" t="s">
        <v>65</v>
      </c>
      <c r="B46" s="9" t="e">
        <f>E21</f>
        <v>#VALUE!</v>
      </c>
      <c r="C46" s="9" t="e">
        <f>E38</f>
        <v>#VALUE!</v>
      </c>
      <c r="D46" s="9" t="e">
        <f>C46-B46</f>
        <v>#VALUE!</v>
      </c>
      <c r="E46" s="7" t="s">
        <v>64</v>
      </c>
    </row>
    <row r="47" ht="28.8" spans="1:6">
      <c r="A47" s="7" t="s">
        <v>66</v>
      </c>
      <c r="B47" s="7" t="e">
        <f>$B$4-B46</f>
        <v>#VALUE!</v>
      </c>
      <c r="C47" s="7" t="e">
        <f>$B$4-C46</f>
        <v>#VALUE!</v>
      </c>
      <c r="D47" s="7" t="s">
        <v>64</v>
      </c>
      <c r="E47" s="10" t="e">
        <f>IF(B47&gt;0,CONCATENATE("❌ 亏损 ",TEXT(B47,"#,##0.00")," 元"),"✓ 不亏")</f>
        <v>#VALUE!</v>
      </c>
    </row>
  </sheetData>
  <mergeCells count="9">
    <mergeCell ref="A1:H1"/>
    <mergeCell ref="A3:H3"/>
    <mergeCell ref="A9:H9"/>
    <mergeCell ref="A17:H17"/>
    <mergeCell ref="A23:H23"/>
    <mergeCell ref="A26:H26"/>
    <mergeCell ref="A34:H34"/>
    <mergeCell ref="A40:H40"/>
    <mergeCell ref="A43:H4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报价公式对比验证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Kobe Stefanie</cp:lastModifiedBy>
  <dcterms:created xsi:type="dcterms:W3CDTF">2026-08-24T04:24:00Z</dcterms:created>
  <dcterms:modified xsi:type="dcterms:W3CDTF">2026-08-24T08:59:11Z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F4285392093D46AC8BBEAC13AE285196_12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