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项目\12-成本控制\织造部成本核算\"/>
    </mc:Choice>
  </mc:AlternateContent>
  <bookViews>
    <workbookView windowWidth="22188" windowHeight="9060"/>
  </bookViews>
  <sheets>
    <sheet name="公式逻辑推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<sst xmlns="http://schemas.openxmlformats.org/spreadsheetml/2006/main" count="114" uniqueCount="71">
  <si>
    <t>来料加工报价公式逻辑推演</t>
  </si>
  <si>
    <t>【基础参数】</t>
  </si>
  <si>
    <t>成品材料成本</t>
  </si>
  <si>
    <t>元</t>
  </si>
  <si>
    <t>欠重率</t>
  </si>
  <si>
    <t>（客户供料实际短缺）</t>
  </si>
  <si>
    <t>织损率</t>
  </si>
  <si>
    <t>（加工过程物理损耗）</t>
  </si>
  <si>
    <t>【第一步：正向推算】从供料到成品（实际生产过程）</t>
  </si>
  <si>
    <t>步骤</t>
  </si>
  <si>
    <t>说明</t>
  </si>
  <si>
    <t>计算公式</t>
  </si>
  <si>
    <t>计算结果</t>
  </si>
  <si>
    <t>单位</t>
  </si>
  <si>
    <t>备注</t>
  </si>
  <si>
    <t>1</t>
  </si>
  <si>
    <t>客户供料价值</t>
  </si>
  <si>
    <t>假设</t>
  </si>
  <si>
    <t>客户说给1000元的料</t>
  </si>
  <si>
    <t>2</t>
  </si>
  <si>
    <t>扣除欠重（3%）</t>
  </si>
  <si>
    <t>供料 × (1-欠重率)</t>
  </si>
  <si>
    <t>实际到厂净重</t>
  </si>
  <si>
    <t>3</t>
  </si>
  <si>
    <t>扣除织损（2%）</t>
  </si>
  <si>
    <t>到厂净重 × (1-织损率)</t>
  </si>
  <si>
    <t>加工后成品价值</t>
  </si>
  <si>
    <t>【正向结论】供料1000元 → 到厂970元 → 成品950.60元</t>
  </si>
  <si>
    <t>问题：如果客户要1000元成品，我们需要他供多少料？</t>
  </si>
  <si>
    <t>【第二步：错误的反推】简单加法（价格附加思维）❌</t>
  </si>
  <si>
    <t>错误公式</t>
  </si>
  <si>
    <t>问题</t>
  </si>
  <si>
    <t>目标</t>
  </si>
  <si>
    <t>客户要的成品价值</t>
  </si>
  <si>
    <t>补欠重（错误）</t>
  </si>
  <si>
    <t>成品 × 欠重率</t>
  </si>
  <si>
    <t>当成价格附加</t>
  </si>
  <si>
    <t>到厂净重需求（错误）</t>
  </si>
  <si>
    <t>成品 + 欠重金额</t>
  </si>
  <si>
    <t>简单相加</t>
  </si>
  <si>
    <t>4</t>
  </si>
  <si>
    <t>补织损（错误）</t>
  </si>
  <si>
    <t>净重 × 织损率</t>
  </si>
  <si>
    <t>5</t>
  </si>
  <si>
    <t>需要供料（错误）</t>
  </si>
  <si>
    <t>净重 + 织损金额</t>
  </si>
  <si>
    <t>【验证错误公式】</t>
  </si>
  <si>
    <t>验证项目</t>
  </si>
  <si>
    <t>计算</t>
  </si>
  <si>
    <t>结果</t>
  </si>
  <si>
    <t>偏差</t>
  </si>
  <si>
    <t>结论</t>
  </si>
  <si>
    <t>供料→成品（正向验证）</t>
  </si>
  <si>
    <t>❌ 结论：供料1050.60元 → 实际只产出949.61元成品，亏了0.39元！</t>
  </si>
  <si>
    <t>【第三步：正确的反推】倒推除法（物理损耗思维）✓</t>
  </si>
  <si>
    <t>正确公式</t>
  </si>
  <si>
    <t>逻辑</t>
  </si>
  <si>
    <t>反推织损前（到厂净重）</t>
  </si>
  <si>
    <t>成品 ÷ (1-织损率)</t>
  </si>
  <si>
    <t>要产1000，损耗2%，需要X，X*(1-2%)=1000</t>
  </si>
  <si>
    <t>织损金额</t>
  </si>
  <si>
    <t>到厂净重 - 成品</t>
  </si>
  <si>
    <t>织损造成的成本增加</t>
  </si>
  <si>
    <t>反推欠重前（供料）</t>
  </si>
  <si>
    <t>到厂净重 ÷ (1-欠重率)</t>
  </si>
  <si>
    <t>到厂要1020.41，欠重3%，需要Y，Y*(1-3%)=1020.41</t>
  </si>
  <si>
    <t>欠重金额</t>
  </si>
  <si>
    <t>供料 - 到厂净重</t>
  </si>
  <si>
    <t>欠重造成的成本增加</t>
  </si>
  <si>
    <t>【验证正确公式】</t>
  </si>
  <si>
    <t>✓ 结论：供料1052.05元 → 正好产出1000.00元成品，分毫不差！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</si>
</sst>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1F4E78"/>
      <name val="微软雅黑"/>
      <charset val="134"/>
    </font>
    <font>
      <b/>
      <sz val="12"/>
      <color rgb="FFFFFFFF"/>
      <name val="微软雅黑"/>
      <charset val="134"/>
    </font>
    <font>
      <b/>
      <sz val="11"/>
      <name val="微软雅黑"/>
      <charset val="134"/>
    </font>
    <font>
      <b/>
      <sz val="11"/>
      <color rgb="FFE74C3C"/>
      <name val="微软雅黑"/>
      <charset val="134"/>
    </font>
    <font>
      <b/>
      <sz val="11"/>
      <color rgb="FF70AD47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1F5FE"/>
        <bgColor rgb="FFE1F5FE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8F5E9"/>
        <bgColor rgb="FFE8F5E9"/>
      </patternFill>
    </fill>
    <fill>
      <patternFill patternType="solid">
        <fgColor rgb="FFE74C3C"/>
        <bgColor rgb="FFE74C3C"/>
      </patternFill>
    </fill>
    <fill>
      <patternFill patternType="solid">
        <fgColor rgb="FFFFEBEE"/>
        <bgColor rgb="FFFFEBEE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" fontId="0" fillId="9" borderId="1" xfId="0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zoomScale="85" zoomScaleNormal="85" workbookViewId="0">
      <selection activeCell="D37" sqref="D37"/>
    </sheetView>
  </sheetViews>
  <sheetFormatPr defaultColWidth="9" defaultRowHeight="14.4"/>
  <cols>
    <col min="1" max="1" width="8" customWidth="1"/>
    <col min="2" max="2" width="25" customWidth="1"/>
    <col min="3" max="3" width="30" customWidth="1"/>
    <col min="4" max="4" width="15" customWidth="1"/>
    <col min="5" max="5" width="8" customWidth="1"/>
    <col min="6" max="6" width="35" customWidth="1"/>
    <col min="7" max="8" width="12" customWidth="1"/>
    <col min="12" max="12" width="12.8888888888889"/>
  </cols>
  <sheetData>
    <row r="1" ht="30" customHeight="1" spans="1:6">
      <c r="A1" s="1" t="s">
        <v>0</v>
      </c>
    </row>
    <row r="3" ht="17.4" spans="1:6">
      <c r="A3" s="2" t="s">
        <v>1</v>
      </c>
    </row>
    <row r="4" ht="28.8" spans="1:6">
      <c r="A4" s="3" t="s">
        <v>2</v>
      </c>
      <c r="B4" s="3">
        <v>1000</v>
      </c>
      <c r="C4" s="3" t="s">
        <v>3</v>
      </c>
    </row>
    <row r="5" spans="1:6">
      <c r="A5" s="3" t="s">
        <v>4</v>
      </c>
      <c r="B5" s="4">
        <v>0.03</v>
      </c>
      <c r="C5" s="3" t="s">
        <v>5</v>
      </c>
    </row>
    <row r="6" spans="1:6">
      <c r="A6" s="3" t="s">
        <v>6</v>
      </c>
      <c r="B6" s="4">
        <v>0.02</v>
      </c>
      <c r="C6" s="3" t="s">
        <v>7</v>
      </c>
    </row>
    <row r="9" ht="17.4" spans="1:6">
      <c r="A9" s="5" t="s">
        <v>8</v>
      </c>
    </row>
    <row r="10" ht="16.2" spans="1:6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</row>
    <row r="11" spans="1:6">
      <c r="A11" s="7" t="s">
        <v>15</v>
      </c>
      <c r="B11" s="7" t="s">
        <v>16</v>
      </c>
      <c r="C11" s="7" t="s">
        <v>17</v>
      </c>
      <c r="D11" s="7">
        <v>1000</v>
      </c>
      <c r="E11" s="7" t="s">
        <v>3</v>
      </c>
      <c r="F11" s="8" t="s">
        <v>18</v>
      </c>
    </row>
    <row r="12" spans="1:6">
      <c r="A12" s="7" t="s">
        <v>19</v>
      </c>
      <c r="B12" s="7" t="s">
        <v>20</v>
      </c>
      <c r="C12" s="7" t="s">
        <v>21</v>
      </c>
      <c r="D12" s="9">
        <f>D11*(1-$B$5)</f>
        <v>970</v>
      </c>
      <c r="E12" s="7" t="s">
        <v>3</v>
      </c>
      <c r="F12" s="8" t="s">
        <v>22</v>
      </c>
    </row>
    <row r="13" spans="1:6">
      <c r="A13" s="7" t="s">
        <v>23</v>
      </c>
      <c r="B13" s="7" t="s">
        <v>24</v>
      </c>
      <c r="C13" s="7" t="s">
        <v>25</v>
      </c>
      <c r="D13" s="9">
        <f>D12*(1-$B$6)</f>
        <v>950.6</v>
      </c>
      <c r="E13" s="7" t="s">
        <v>3</v>
      </c>
      <c r="F13" s="8" t="s">
        <v>26</v>
      </c>
    </row>
    <row r="15" ht="16.2" spans="1:6">
      <c r="A15" s="6" t="s">
        <v>27</v>
      </c>
    </row>
    <row r="16" ht="16.2" spans="1:6">
      <c r="A16" s="10" t="s">
        <v>28</v>
      </c>
    </row>
    <row r="19" ht="17.4" spans="1:12">
      <c r="A19" s="11" t="s">
        <v>29</v>
      </c>
    </row>
    <row r="20" ht="16.2" spans="1:12">
      <c r="A20" s="12" t="s">
        <v>9</v>
      </c>
      <c r="B20" s="12" t="s">
        <v>10</v>
      </c>
      <c r="C20" s="12" t="s">
        <v>30</v>
      </c>
      <c r="D20" s="12" t="s">
        <v>12</v>
      </c>
      <c r="E20" s="12" t="s">
        <v>13</v>
      </c>
      <c r="F20" s="12" t="s">
        <v>31</v>
      </c>
    </row>
    <row r="21" spans="1:12">
      <c r="A21" s="7" t="s">
        <v>15</v>
      </c>
      <c r="B21" s="7" t="s">
        <v>2</v>
      </c>
      <c r="C21" s="7" t="s">
        <v>32</v>
      </c>
      <c r="D21" s="7">
        <v>1000</v>
      </c>
      <c r="E21" s="7" t="s">
        <v>3</v>
      </c>
      <c r="F21" s="8" t="s">
        <v>33</v>
      </c>
      <c r="L21">
        <f>D39</f>
        <v>1051.96717862403</v>
      </c>
    </row>
    <row r="22" spans="1:12">
      <c r="A22" s="7" t="s">
        <v>19</v>
      </c>
      <c r="B22" s="7" t="s">
        <v>34</v>
      </c>
      <c r="C22" s="7" t="s">
        <v>35</v>
      </c>
      <c r="D22" s="9">
        <f>D21*$B$5</f>
        <v>30</v>
      </c>
      <c r="E22" s="7" t="s">
        <v>3</v>
      </c>
      <c r="F22" s="8" t="s">
        <v>36</v>
      </c>
      <c r="L22">
        <f>L21*0.97</f>
        <v>1020.40816326531</v>
      </c>
    </row>
    <row r="23" spans="1:12">
      <c r="A23" s="7" t="s">
        <v>23</v>
      </c>
      <c r="B23" s="7" t="s">
        <v>37</v>
      </c>
      <c r="C23" s="7" t="s">
        <v>38</v>
      </c>
      <c r="D23" s="9">
        <f>D21+D22</f>
        <v>1030</v>
      </c>
      <c r="E23" s="7" t="s">
        <v>3</v>
      </c>
      <c r="F23" s="8" t="s">
        <v>39</v>
      </c>
      <c r="L23">
        <f>L22*0.98</f>
        <v>1000</v>
      </c>
    </row>
    <row r="24" spans="1:12">
      <c r="A24" s="7" t="s">
        <v>40</v>
      </c>
      <c r="B24" s="7" t="s">
        <v>41</v>
      </c>
      <c r="C24" s="7" t="s">
        <v>42</v>
      </c>
      <c r="D24" s="9">
        <f>D23*$B$6</f>
        <v>20.6</v>
      </c>
      <c r="E24" s="7" t="s">
        <v>3</v>
      </c>
      <c r="F24" s="8" t="s">
        <v>36</v>
      </c>
    </row>
    <row r="25" spans="1:12">
      <c r="A25" s="7" t="s">
        <v>43</v>
      </c>
      <c r="B25" s="7" t="s">
        <v>44</v>
      </c>
      <c r="C25" s="7" t="s">
        <v>45</v>
      </c>
      <c r="D25" s="9">
        <f>D23+D24</f>
        <v>1050.6</v>
      </c>
      <c r="E25" s="7" t="s">
        <v>3</v>
      </c>
      <c r="F25" s="8" t="s">
        <v>39</v>
      </c>
    </row>
    <row r="27" ht="17.4" spans="1:12">
      <c r="A27" s="11" t="s">
        <v>46</v>
      </c>
    </row>
    <row r="28" ht="32.4" spans="1:12">
      <c r="A28" s="12" t="s">
        <v>47</v>
      </c>
      <c r="B28" s="12" t="s">
        <v>48</v>
      </c>
      <c r="C28" s="12" t="s">
        <v>49</v>
      </c>
      <c r="D28" s="12" t="s">
        <v>32</v>
      </c>
      <c r="E28" s="12" t="s">
        <v>50</v>
      </c>
      <c r="F28" s="12" t="s">
        <v>51</v>
      </c>
    </row>
    <row r="29" ht="57.6" spans="1:12">
      <c r="A29" s="7" t="s">
        <v>52</v>
      </c>
      <c r="B29" s="7">
        <f>D25*(1-B5)*(1-B6)</f>
        <v>998.70036</v>
      </c>
      <c r="C29" s="13">
        <f>D25*(1-$B$5)*(1-$B$6)</f>
        <v>998.70036</v>
      </c>
      <c r="D29" s="9">
        <v>1000</v>
      </c>
      <c r="E29" s="9">
        <f>C29-D29</f>
        <v>-1.29964000000018</v>
      </c>
      <c r="F29" s="14" t="str">
        <f>IF(ABS(E29)&gt;1,"❌亏了","✓")</f>
        <v>❌亏了</v>
      </c>
    </row>
    <row r="31" ht="16.2" spans="1:12">
      <c r="A31" s="15" t="s">
        <v>53</v>
      </c>
    </row>
    <row r="34" ht="17.4" spans="1:6">
      <c r="A34" s="5" t="s">
        <v>54</v>
      </c>
    </row>
    <row r="35" ht="16.2" spans="1:6">
      <c r="A35" s="6" t="s">
        <v>9</v>
      </c>
      <c r="B35" s="6" t="s">
        <v>10</v>
      </c>
      <c r="C35" s="6" t="s">
        <v>55</v>
      </c>
      <c r="D35" s="6" t="s">
        <v>12</v>
      </c>
      <c r="E35" s="6" t="s">
        <v>13</v>
      </c>
      <c r="F35" s="6" t="s">
        <v>56</v>
      </c>
    </row>
    <row r="36" spans="1:6">
      <c r="A36" s="7" t="s">
        <v>15</v>
      </c>
      <c r="B36" s="7" t="s">
        <v>2</v>
      </c>
      <c r="C36" s="7" t="s">
        <v>32</v>
      </c>
      <c r="D36" s="7">
        <v>1000</v>
      </c>
      <c r="E36" s="7" t="s">
        <v>3</v>
      </c>
      <c r="F36" s="8" t="s">
        <v>33</v>
      </c>
    </row>
    <row r="37" ht="28.8" spans="1:6">
      <c r="A37" s="7" t="s">
        <v>19</v>
      </c>
      <c r="B37" s="7" t="s">
        <v>57</v>
      </c>
      <c r="C37" s="7" t="s">
        <v>58</v>
      </c>
      <c r="D37" s="9">
        <f>D36/(1-$B$6)</f>
        <v>1020.40816326531</v>
      </c>
      <c r="E37" s="7" t="s">
        <v>3</v>
      </c>
      <c r="F37" s="8" t="s">
        <v>59</v>
      </c>
    </row>
    <row r="38" spans="1:6">
      <c r="A38" s="7" t="s">
        <v>23</v>
      </c>
      <c r="B38" s="7" t="s">
        <v>60</v>
      </c>
      <c r="C38" s="7" t="s">
        <v>61</v>
      </c>
      <c r="D38" s="9">
        <f>D37-D36</f>
        <v>20.4081632653061</v>
      </c>
      <c r="E38" s="7" t="s">
        <v>3</v>
      </c>
      <c r="F38" s="8" t="s">
        <v>62</v>
      </c>
    </row>
    <row r="39" ht="28.8" spans="1:6">
      <c r="A39" s="7" t="s">
        <v>40</v>
      </c>
      <c r="B39" s="7" t="s">
        <v>63</v>
      </c>
      <c r="C39" s="7" t="s">
        <v>64</v>
      </c>
      <c r="D39" s="9">
        <f>D37/(1-$B$5)</f>
        <v>1051.96717862403</v>
      </c>
      <c r="E39" s="7" t="s">
        <v>3</v>
      </c>
      <c r="F39" s="8" t="s">
        <v>65</v>
      </c>
    </row>
    <row r="40" spans="1:6">
      <c r="A40" s="7" t="s">
        <v>43</v>
      </c>
      <c r="B40" s="7" t="s">
        <v>66</v>
      </c>
      <c r="C40" s="7" t="s">
        <v>67</v>
      </c>
      <c r="D40" s="9">
        <f>D39-D37</f>
        <v>31.5590153587208</v>
      </c>
      <c r="E40" s="7" t="s">
        <v>3</v>
      </c>
      <c r="F40" s="8" t="s">
        <v>68</v>
      </c>
    </row>
    <row r="42" ht="17.4" spans="1:6">
      <c r="A42" s="5" t="s">
        <v>69</v>
      </c>
    </row>
    <row r="43" ht="32.4" spans="1:6">
      <c r="A43" s="6" t="s">
        <v>47</v>
      </c>
      <c r="B43" s="6" t="s">
        <v>48</v>
      </c>
      <c r="C43" s="6" t="s">
        <v>49</v>
      </c>
      <c r="D43" s="6" t="s">
        <v>32</v>
      </c>
      <c r="E43" s="6" t="s">
        <v>50</v>
      </c>
      <c r="F43" s="6" t="s">
        <v>51</v>
      </c>
    </row>
    <row r="44" ht="57.6" spans="1:6">
      <c r="A44" s="7" t="s">
        <v>52</v>
      </c>
      <c r="B44" s="7">
        <f>D39*(1-B5)*(1-B6)</f>
        <v>1000</v>
      </c>
      <c r="C44" s="9">
        <f>D39*(1-$B$5)*(1-$B$6)</f>
        <v>1000</v>
      </c>
      <c r="D44" s="9">
        <v>1000</v>
      </c>
      <c r="E44" s="9">
        <f>C44-D44</f>
        <v>0</v>
      </c>
      <c r="F44" s="14" t="str">
        <f>IF(ABS(E44)&lt;0.01,"✓完美","❌")</f>
        <v>✓完美</v>
      </c>
    </row>
    <row r="46" ht="16.2" spans="1:6">
      <c r="A46" s="16" t="s">
        <v>70</v>
      </c>
    </row>
  </sheetData>
  <mergeCells count="11">
    <mergeCell ref="A1:H1"/>
    <mergeCell ref="A3:H3"/>
    <mergeCell ref="A9:H9"/>
    <mergeCell ref="A15:H15"/>
    <mergeCell ref="A16:H16"/>
    <mergeCell ref="A19:H19"/>
    <mergeCell ref="A27:H27"/>
    <mergeCell ref="A31:H31"/>
    <mergeCell ref="A34:H34"/>
    <mergeCell ref="A42:H42"/>
    <mergeCell ref="A46:H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公式逻辑推演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Kobe Stefanie</cp:lastModifiedBy>
  <dcterms:created xsi:type="dcterms:W3CDTF">2026-08-24T04:14:00Z</dcterms:created>
  <dcterms:modified xsi:type="dcterms:W3CDTF">2026-08-24T08:59:05Z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2393A731A10D449FA0A887D11AA3C911_12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