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设置" sheetId="1" state="visible" r:id="rId1"/>
    <sheet xmlns:r="http://schemas.openxmlformats.org/officeDocument/2006/relationships" name="员工档案" sheetId="2" state="visible" r:id="rId2"/>
    <sheet xmlns:r="http://schemas.openxmlformats.org/officeDocument/2006/relationships" name="月度工资核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000000"/>
      <sz val="10"/>
    </font>
    <font>
      <name val="微软雅黑"/>
      <color rgb="00000000"/>
      <sz val="10"/>
    </font>
    <font>
      <name val="微软雅黑"/>
      <color rgb="00595959"/>
      <sz val="10"/>
    </font>
    <font>
      <name val="微软雅黑"/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FC0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DDDDD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49" fontId="0" fillId="7" borderId="1" applyAlignment="1" pivotButton="0" quotePrefix="0" xfId="0">
      <alignment horizontal="right" vertical="center"/>
    </xf>
    <xf numFmtId="4" fontId="0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6" customWidth="1" min="3" max="3"/>
    <col width="28" customWidth="1" min="4" max="4"/>
  </cols>
  <sheetData>
    <row r="1" ht="30" customHeight="1">
      <c r="A1" s="1" t="inlineStr">
        <is>
          <t>工资核算参数（黄色格可改）</t>
        </is>
      </c>
      <c r="B1" s="2" t="n"/>
      <c r="C1" s="2" t="n"/>
      <c r="D1" s="3" t="n"/>
    </row>
    <row r="3" ht="20" customHeight="1">
      <c r="A3" s="1" t="inlineStr">
        <is>
          <t>基本参数</t>
        </is>
      </c>
      <c r="B3" s="2" t="n"/>
      <c r="C3" s="2" t="n"/>
      <c r="D3" s="3" t="n"/>
    </row>
    <row r="4" ht="20" customHeight="1">
      <c r="A4" s="4" t="inlineStr">
        <is>
          <t>公司名称</t>
        </is>
      </c>
      <c r="B4" s="5" t="inlineStr">
        <is>
          <t>新疆某T恤有限公司</t>
        </is>
      </c>
      <c r="C4" s="6" t="inlineStr"/>
      <c r="D4" s="7" t="inlineStr">
        <is>
          <t>修改为实际名称</t>
        </is>
      </c>
    </row>
    <row r="5" ht="20" customHeight="1">
      <c r="A5" s="4" t="inlineStr">
        <is>
          <t>发薪日</t>
        </is>
      </c>
      <c r="B5" s="5" t="n">
        <v>25</v>
      </c>
      <c r="C5" s="6" t="inlineStr">
        <is>
          <t>日</t>
        </is>
      </c>
      <c r="D5" s="7" t="inlineStr">
        <is>
          <t>每月几号发</t>
        </is>
      </c>
    </row>
    <row r="6" ht="20" customHeight="1">
      <c r="A6" s="4" t="inlineStr">
        <is>
          <t>月标准工作天数</t>
        </is>
      </c>
      <c r="B6" s="5" t="n">
        <v>26</v>
      </c>
      <c r="C6" s="6" t="inlineStr">
        <is>
          <t>天</t>
        </is>
      </c>
      <c r="D6" s="7" t="inlineStr">
        <is>
          <t>用于日薪计算</t>
        </is>
      </c>
    </row>
    <row r="7" ht="20" customHeight="1">
      <c r="A7" s="4" t="inlineStr">
        <is>
          <t>最低工资(元/月)</t>
        </is>
      </c>
      <c r="B7" s="5" t="n">
        <v>2400</v>
      </c>
      <c r="C7" s="6" t="inlineStr">
        <is>
          <t>元</t>
        </is>
      </c>
      <c r="D7" s="7" t="inlineStr">
        <is>
          <t>按新疆标准填</t>
        </is>
      </c>
    </row>
    <row r="8" ht="20" customHeight="1">
      <c r="A8" s="1" t="inlineStr">
        <is>
          <t>加班系数</t>
        </is>
      </c>
      <c r="B8" s="2" t="n"/>
      <c r="C8" s="2" t="n"/>
      <c r="D8" s="3" t="n"/>
    </row>
    <row r="9" ht="20" customHeight="1">
      <c r="A9" s="4" t="inlineStr">
        <is>
          <t>平日延时</t>
        </is>
      </c>
      <c r="B9" s="5" t="n">
        <v>1.5</v>
      </c>
      <c r="C9" s="6" t="inlineStr">
        <is>
          <t>倍</t>
        </is>
      </c>
      <c r="D9" s="7" t="inlineStr">
        <is>
          <t>超8小时</t>
        </is>
      </c>
    </row>
    <row r="10" ht="20" customHeight="1">
      <c r="A10" s="4" t="inlineStr">
        <is>
          <t>休息日</t>
        </is>
      </c>
      <c r="B10" s="5" t="n">
        <v>2</v>
      </c>
      <c r="C10" s="6" t="inlineStr">
        <is>
          <t>倍</t>
        </is>
      </c>
      <c r="D10" s="7" t="inlineStr">
        <is>
          <t>周六周日</t>
        </is>
      </c>
    </row>
    <row r="11" ht="20" customHeight="1">
      <c r="A11" s="4" t="inlineStr">
        <is>
          <t>节假日</t>
        </is>
      </c>
      <c r="B11" s="5" t="n">
        <v>3</v>
      </c>
      <c r="C11" s="6" t="inlineStr">
        <is>
          <t>倍</t>
        </is>
      </c>
      <c r="D11" s="7" t="inlineStr">
        <is>
          <t>法定假日</t>
        </is>
      </c>
    </row>
    <row r="12" ht="20" customHeight="1">
      <c r="A12" s="1" t="inlineStr">
        <is>
          <t>社保比例（个人）</t>
        </is>
      </c>
      <c r="B12" s="2" t="n"/>
      <c r="C12" s="2" t="n"/>
      <c r="D12" s="3" t="n"/>
    </row>
    <row r="13" ht="20" customHeight="1">
      <c r="A13" s="4" t="inlineStr">
        <is>
          <t>养老</t>
        </is>
      </c>
      <c r="B13" s="5" t="inlineStr">
        <is>
          <t>8%</t>
        </is>
      </c>
      <c r="C13" s="6" t="inlineStr"/>
      <c r="D13" s="7" t="inlineStr"/>
    </row>
    <row r="14" ht="20" customHeight="1">
      <c r="A14" s="4" t="inlineStr">
        <is>
          <t>医疗</t>
        </is>
      </c>
      <c r="B14" s="5" t="inlineStr">
        <is>
          <t>2%</t>
        </is>
      </c>
      <c r="C14" s="6" t="inlineStr"/>
      <c r="D14" s="7" t="inlineStr"/>
    </row>
    <row r="15" ht="20" customHeight="1">
      <c r="A15" s="4" t="inlineStr">
        <is>
          <t>失业</t>
        </is>
      </c>
      <c r="B15" s="5" t="inlineStr">
        <is>
          <t>0.5%</t>
        </is>
      </c>
      <c r="C15" s="6" t="inlineStr"/>
      <c r="D15" s="7" t="inlineStr"/>
    </row>
    <row r="16" ht="20" customHeight="1">
      <c r="A16" s="4" t="inlineStr">
        <is>
          <t>公积金</t>
        </is>
      </c>
      <c r="B16" s="5" t="inlineStr">
        <is>
          <t>5%</t>
        </is>
      </c>
      <c r="C16" s="6" t="inlineStr"/>
      <c r="D16" s="7" t="inlineStr">
        <is>
          <t>新疆部分地区可能不缴</t>
        </is>
      </c>
    </row>
    <row r="17" ht="20" customHeight="1">
      <c r="A17" s="1" t="inlineStr">
        <is>
          <t>社保比例（单位）</t>
        </is>
      </c>
      <c r="B17" s="2" t="n"/>
      <c r="C17" s="2" t="n"/>
      <c r="D17" s="3" t="n"/>
    </row>
    <row r="18" ht="20" customHeight="1">
      <c r="A18" s="4" t="inlineStr">
        <is>
          <t>养老</t>
        </is>
      </c>
      <c r="B18" s="5" t="inlineStr">
        <is>
          <t>16%</t>
        </is>
      </c>
      <c r="C18" s="6" t="inlineStr"/>
      <c r="D18" s="7" t="inlineStr"/>
    </row>
    <row r="19" ht="20" customHeight="1">
      <c r="A19" s="4" t="inlineStr">
        <is>
          <t>医疗</t>
        </is>
      </c>
      <c r="B19" s="5" t="inlineStr">
        <is>
          <t>8%</t>
        </is>
      </c>
      <c r="C19" s="6" t="inlineStr"/>
      <c r="D19" s="7" t="inlineStr">
        <is>
          <t>含生育</t>
        </is>
      </c>
    </row>
    <row r="20" ht="20" customHeight="1">
      <c r="A20" s="4" t="inlineStr">
        <is>
          <t>失业</t>
        </is>
      </c>
      <c r="B20" s="5" t="inlineStr">
        <is>
          <t>0.5%</t>
        </is>
      </c>
      <c r="C20" s="6" t="inlineStr"/>
      <c r="D20" s="7" t="inlineStr"/>
    </row>
    <row r="21" ht="20" customHeight="1">
      <c r="A21" s="4" t="inlineStr">
        <is>
          <t>工伤</t>
        </is>
      </c>
      <c r="B21" s="5" t="inlineStr">
        <is>
          <t>0.5%</t>
        </is>
      </c>
      <c r="C21" s="6" t="inlineStr"/>
      <c r="D21" s="7" t="inlineStr">
        <is>
          <t>按行业费率</t>
        </is>
      </c>
    </row>
    <row r="22" ht="20" customHeight="1">
      <c r="A22" s="4" t="inlineStr">
        <is>
          <t>公积金</t>
        </is>
      </c>
      <c r="B22" s="5" t="inlineStr">
        <is>
          <t>5%</t>
        </is>
      </c>
      <c r="C22" s="6" t="inlineStr"/>
      <c r="D22" s="7" t="inlineStr"/>
    </row>
  </sheetData>
  <mergeCells count="5">
    <mergeCell ref="A1:D1"/>
    <mergeCell ref="A17:D17"/>
    <mergeCell ref="A8:D8"/>
    <mergeCell ref="A12:D12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1" customWidth="1" min="5" max="5"/>
    <col width="11" customWidth="1" min="6" max="6"/>
    <col width="12" customWidth="1" min="7" max="7"/>
    <col width="12" customWidth="1" min="8" max="8"/>
    <col width="22" customWidth="1" min="9" max="9"/>
    <col width="14" customWidth="1" min="10" max="10"/>
  </cols>
  <sheetData>
    <row r="1" ht="30" customHeight="1">
      <c r="A1" s="8" t="inlineStr">
        <is>
          <t>工号</t>
        </is>
      </c>
      <c r="B1" s="8" t="inlineStr">
        <is>
          <t>姓名</t>
        </is>
      </c>
      <c r="C1" s="8" t="inlineStr">
        <is>
          <t>部门</t>
        </is>
      </c>
      <c r="D1" s="8" t="inlineStr">
        <is>
          <t>岗位</t>
        </is>
      </c>
      <c r="E1" s="8" t="inlineStr">
        <is>
          <t>工资类型</t>
        </is>
      </c>
      <c r="F1" s="8" t="inlineStr">
        <is>
          <t>底薪(元)</t>
        </is>
      </c>
      <c r="G1" s="8" t="inlineStr">
        <is>
          <t>计件单价</t>
        </is>
      </c>
      <c r="H1" s="8" t="inlineStr">
        <is>
          <t>社保基数</t>
        </is>
      </c>
      <c r="I1" s="8" t="inlineStr">
        <is>
          <t>银行卡号</t>
        </is>
      </c>
      <c r="J1" s="8" t="inlineStr">
        <is>
          <t>开户行</t>
        </is>
      </c>
    </row>
    <row r="2" ht="20" customHeight="1">
      <c r="A2" s="5" t="inlineStr">
        <is>
          <t>001</t>
        </is>
      </c>
      <c r="B2" s="5" t="inlineStr">
        <is>
          <t>张三</t>
        </is>
      </c>
      <c r="C2" s="5" t="inlineStr">
        <is>
          <t>裁剪</t>
        </is>
      </c>
      <c r="D2" s="5" t="inlineStr">
        <is>
          <t>裁床工</t>
        </is>
      </c>
      <c r="E2" s="5" t="inlineStr">
        <is>
          <t>计件</t>
        </is>
      </c>
      <c r="F2" s="5" t="n">
        <v>2400</v>
      </c>
      <c r="G2" s="5" t="n">
        <v>0.8</v>
      </c>
      <c r="H2" s="5" t="n">
        <v>2400</v>
      </c>
      <c r="I2" s="5" t="inlineStr">
        <is>
          <t>6225881234567890</t>
        </is>
      </c>
      <c r="J2" s="5" t="inlineStr">
        <is>
          <t>建设银行</t>
        </is>
      </c>
    </row>
    <row r="3" ht="20" customHeight="1">
      <c r="A3" s="5" t="inlineStr">
        <is>
          <t>002</t>
        </is>
      </c>
      <c r="B3" s="5" t="inlineStr">
        <is>
          <t>李四</t>
        </is>
      </c>
      <c r="C3" s="5" t="inlineStr">
        <is>
          <t>缝纫</t>
        </is>
      </c>
      <c r="D3" s="5" t="inlineStr">
        <is>
          <t>缝纫工</t>
        </is>
      </c>
      <c r="E3" s="5" t="inlineStr">
        <is>
          <t>计件</t>
        </is>
      </c>
      <c r="F3" s="5" t="n">
        <v>2400</v>
      </c>
      <c r="G3" s="5" t="n">
        <v>1.2</v>
      </c>
      <c r="H3" s="5" t="n">
        <v>2400</v>
      </c>
      <c r="I3" s="5" t="inlineStr">
        <is>
          <t>6217001234567890</t>
        </is>
      </c>
      <c r="J3" s="5" t="inlineStr">
        <is>
          <t>工商银行</t>
        </is>
      </c>
    </row>
    <row r="4" ht="20" customHeight="1">
      <c r="A4" s="5" t="inlineStr">
        <is>
          <t>003</t>
        </is>
      </c>
      <c r="B4" s="5" t="inlineStr">
        <is>
          <t>王五</t>
        </is>
      </c>
      <c r="C4" s="5" t="inlineStr">
        <is>
          <t>质检</t>
        </is>
      </c>
      <c r="D4" s="5" t="inlineStr">
        <is>
          <t>质检员</t>
        </is>
      </c>
      <c r="E4" s="5" t="inlineStr">
        <is>
          <t>计时</t>
        </is>
      </c>
      <c r="F4" s="5" t="n">
        <v>4500</v>
      </c>
      <c r="G4" s="5" t="n">
        <v>0</v>
      </c>
      <c r="H4" s="5" t="n">
        <v>4500</v>
      </c>
      <c r="I4" s="5" t="inlineStr">
        <is>
          <t>6228481234567890</t>
        </is>
      </c>
      <c r="J4" s="5" t="inlineStr">
        <is>
          <t>农业银行</t>
        </is>
      </c>
    </row>
    <row r="5" ht="20" customHeight="1">
      <c r="A5" s="5" t="inlineStr">
        <is>
          <t>004</t>
        </is>
      </c>
      <c r="B5" s="5" t="inlineStr">
        <is>
          <t>赵六</t>
        </is>
      </c>
      <c r="C5" s="5" t="inlineStr">
        <is>
          <t>仓储</t>
        </is>
      </c>
      <c r="D5" s="5" t="inlineStr">
        <is>
          <t>仓管员</t>
        </is>
      </c>
      <c r="E5" s="5" t="inlineStr">
        <is>
          <t>综合</t>
        </is>
      </c>
      <c r="F5" s="5" t="n">
        <v>3200</v>
      </c>
      <c r="G5" s="5" t="n">
        <v>0</v>
      </c>
      <c r="H5" s="5" t="n">
        <v>3200</v>
      </c>
      <c r="I5" s="5" t="inlineStr">
        <is>
          <t>6236681234567890</t>
        </is>
      </c>
      <c r="J5" s="5" t="inlineStr">
        <is>
          <t>中国银行</t>
        </is>
      </c>
    </row>
    <row r="6">
      <c r="A6" s="9" t="inlineStr">
        <is>
          <t>... 向下继续填写，共500行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3" t="n"/>
    </row>
  </sheetData>
  <mergeCells count="1">
    <mergeCell ref="A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2" customWidth="1" min="14" max="14"/>
    <col width="12" customWidth="1" min="15" max="15"/>
    <col width="13" customWidth="1" min="16" max="16"/>
  </cols>
  <sheetData>
    <row r="1" ht="42" customHeight="1">
      <c r="A1" s="8" t="inlineStr">
        <is>
          <t>工号</t>
        </is>
      </c>
      <c r="B1" s="8" t="inlineStr">
        <is>
          <t>姓名</t>
        </is>
      </c>
      <c r="C1" s="8" t="inlineStr">
        <is>
          <t>部门</t>
        </is>
      </c>
      <c r="D1" s="8" t="inlineStr">
        <is>
          <t>出勤天数</t>
        </is>
      </c>
      <c r="E1" s="8" t="inlineStr">
        <is>
          <t>底薪应发</t>
        </is>
      </c>
      <c r="F1" s="8" t="inlineStr">
        <is>
          <t>计件数量</t>
        </is>
      </c>
      <c r="G1" s="8" t="inlineStr">
        <is>
          <t>计件工资</t>
        </is>
      </c>
      <c r="H1" s="8" t="inlineStr">
        <is>
          <t>加班小时</t>
        </is>
      </c>
      <c r="I1" s="8" t="inlineStr">
        <is>
          <t>加班工资</t>
        </is>
      </c>
      <c r="J1" s="8" t="inlineStr">
        <is>
          <t>绩效奖金</t>
        </is>
      </c>
      <c r="K1" s="8" t="inlineStr">
        <is>
          <t>应发合计</t>
        </is>
      </c>
      <c r="L1" s="8" t="inlineStr">
        <is>
          <t>养老个人</t>
        </is>
      </c>
      <c r="M1" s="8" t="inlineStr">
        <is>
          <t>医疗个人</t>
        </is>
      </c>
      <c r="N1" s="8" t="inlineStr">
        <is>
          <t>公积金个人</t>
        </is>
      </c>
      <c r="O1" s="8" t="inlineStr">
        <is>
          <t>个人所得税</t>
        </is>
      </c>
      <c r="P1" s="8" t="inlineStr">
        <is>
          <t>实  发</t>
        </is>
      </c>
    </row>
    <row r="2" ht="22" customHeight="1">
      <c r="A2" s="10">
        <f>员工档案!A2</f>
        <v/>
      </c>
      <c r="B2" s="10">
        <f>员工档案!B2</f>
        <v/>
      </c>
      <c r="C2" s="10">
        <f>员工档案!C2</f>
        <v/>
      </c>
      <c r="D2" s="5" t="n">
        <v>26</v>
      </c>
      <c r="E2" s="11">
        <f>员工档案!F2/参数设置!$B$6*D2</f>
        <v/>
      </c>
      <c r="F2" s="5" t="inlineStr"/>
      <c r="G2" s="11">
        <f>F2*员工档案!G2</f>
        <v/>
      </c>
      <c r="H2" s="5" t="n">
        <v>0</v>
      </c>
      <c r="I2" s="11">
        <f>H2*(员工档案!F2/参数设置!$B$6/参数设置!$B$7)*参数设置!$B$9</f>
        <v/>
      </c>
      <c r="J2" s="5" t="n">
        <v>0</v>
      </c>
      <c r="K2" s="11">
        <f>E2+G2+I2+J2</f>
        <v/>
      </c>
      <c r="L2" s="11">
        <f>员工档案!H2*0.08</f>
        <v/>
      </c>
      <c r="M2" s="11">
        <f>员工档案!H2*0.02</f>
        <v/>
      </c>
      <c r="N2" s="11">
        <f>员工档案!H2*0.05</f>
        <v/>
      </c>
      <c r="O2" s="11">
        <f>ROUND(MAX((MAX(0,K2-L2-M2-N2-5000))*{0.03,0.1,0.2,0.25,0.3,0.35,0.45}-{0,210,1410,2660,4410,7160,15160},0),2)</f>
        <v/>
      </c>
      <c r="P2" s="11">
        <f>K2-L2-M2-N2-O2</f>
        <v/>
      </c>
    </row>
    <row r="3" ht="22" customHeight="1">
      <c r="A3" s="10">
        <f>员工档案!A3</f>
        <v/>
      </c>
      <c r="B3" s="10">
        <f>员工档案!B3</f>
        <v/>
      </c>
      <c r="C3" s="10">
        <f>员工档案!C3</f>
        <v/>
      </c>
      <c r="D3" s="5" t="n">
        <v>26</v>
      </c>
      <c r="E3" s="11">
        <f>员工档案!F3/参数设置!$B$6*D3</f>
        <v/>
      </c>
      <c r="F3" s="5" t="inlineStr"/>
      <c r="G3" s="11">
        <f>F3*员工档案!G3</f>
        <v/>
      </c>
      <c r="H3" s="5" t="n">
        <v>0</v>
      </c>
      <c r="I3" s="11">
        <f>H3*(员工档案!F3/参数设置!$B$6/参数设置!$B$7)*参数设置!$B$9</f>
        <v/>
      </c>
      <c r="J3" s="5" t="n">
        <v>0</v>
      </c>
      <c r="K3" s="11">
        <f>E3+G3+I3+J3</f>
        <v/>
      </c>
      <c r="L3" s="11">
        <f>员工档案!H3*0.08</f>
        <v/>
      </c>
      <c r="M3" s="11">
        <f>员工档案!H3*0.02</f>
        <v/>
      </c>
      <c r="N3" s="11">
        <f>员工档案!H3*0.05</f>
        <v/>
      </c>
      <c r="O3" s="11">
        <f>ROUND(MAX((MAX(0,K3-L3-M3-N3-5000))*{0.03,0.1,0.2,0.25,0.3,0.35,0.45}-{0,210,1410,2660,4410,7160,15160},0),2)</f>
        <v/>
      </c>
      <c r="P3" s="11">
        <f>K3-L3-M3-N3-O3</f>
        <v/>
      </c>
    </row>
    <row r="4" ht="22" customHeight="1">
      <c r="A4" s="10">
        <f>员工档案!A4</f>
        <v/>
      </c>
      <c r="B4" s="10">
        <f>员工档案!B4</f>
        <v/>
      </c>
      <c r="C4" s="10">
        <f>员工档案!C4</f>
        <v/>
      </c>
      <c r="D4" s="5" t="n">
        <v>26</v>
      </c>
      <c r="E4" s="11">
        <f>员工档案!F4/参数设置!$B$6*D4</f>
        <v/>
      </c>
      <c r="F4" s="5" t="inlineStr"/>
      <c r="G4" s="11">
        <f>F4*员工档案!G4</f>
        <v/>
      </c>
      <c r="H4" s="5" t="n">
        <v>0</v>
      </c>
      <c r="I4" s="11">
        <f>H4*(员工档案!F4/参数设置!$B$6/参数设置!$B$7)*参数设置!$B$9</f>
        <v/>
      </c>
      <c r="J4" s="5" t="n">
        <v>0</v>
      </c>
      <c r="K4" s="11">
        <f>E4+G4+I4+J4</f>
        <v/>
      </c>
      <c r="L4" s="11">
        <f>员工档案!H4*0.08</f>
        <v/>
      </c>
      <c r="M4" s="11">
        <f>员工档案!H4*0.02</f>
        <v/>
      </c>
      <c r="N4" s="11">
        <f>员工档案!H4*0.05</f>
        <v/>
      </c>
      <c r="O4" s="11">
        <f>ROUND(MAX((MAX(0,K4-L4-M4-N4-5000))*{0.03,0.1,0.2,0.25,0.3,0.35,0.45}-{0,210,1410,2660,4410,7160,15160},0),2)</f>
        <v/>
      </c>
      <c r="P4" s="11">
        <f>K4-L4-M4-N4-O4</f>
        <v/>
      </c>
    </row>
    <row r="5" ht="22" customHeight="1">
      <c r="A5" s="10">
        <f>员工档案!A5</f>
        <v/>
      </c>
      <c r="B5" s="10">
        <f>员工档案!B5</f>
        <v/>
      </c>
      <c r="C5" s="10">
        <f>员工档案!C5</f>
        <v/>
      </c>
      <c r="D5" s="5" t="n">
        <v>26</v>
      </c>
      <c r="E5" s="11">
        <f>员工档案!F5/参数设置!$B$6*D5</f>
        <v/>
      </c>
      <c r="F5" s="5" t="inlineStr"/>
      <c r="G5" s="11">
        <f>F5*员工档案!G5</f>
        <v/>
      </c>
      <c r="H5" s="5" t="n">
        <v>0</v>
      </c>
      <c r="I5" s="11">
        <f>H5*(员工档案!F5/参数设置!$B$6/参数设置!$B$7)*参数设置!$B$9</f>
        <v/>
      </c>
      <c r="J5" s="5" t="n">
        <v>0</v>
      </c>
      <c r="K5" s="11">
        <f>E5+G5+I5+J5</f>
        <v/>
      </c>
      <c r="L5" s="11">
        <f>员工档案!H5*0.08</f>
        <v/>
      </c>
      <c r="M5" s="11">
        <f>员工档案!H5*0.02</f>
        <v/>
      </c>
      <c r="N5" s="11">
        <f>员工档案!H5*0.05</f>
        <v/>
      </c>
      <c r="O5" s="11">
        <f>ROUND(MAX((MAX(0,K5-L5-M5-N5-5000))*{0.03,0.1,0.2,0.25,0.3,0.35,0.45}-{0,210,1410,2660,4410,7160,15160},0),2)</f>
        <v/>
      </c>
      <c r="P5" s="11">
        <f>K5-L5-M5-N5-O5</f>
        <v/>
      </c>
    </row>
    <row r="6" ht="26" customHeight="1">
      <c r="A6" s="1" t="inlineStr">
        <is>
          <t>合  计</t>
        </is>
      </c>
      <c r="B6" s="2" t="n"/>
      <c r="C6" s="3" t="n"/>
      <c r="D6" s="12" t="inlineStr"/>
      <c r="E6" s="11">
        <f>SUM(E2:E5)</f>
        <v/>
      </c>
      <c r="F6" s="12" t="inlineStr"/>
      <c r="G6" s="11">
        <f>SUM(G2:G5)</f>
        <v/>
      </c>
      <c r="H6" s="12" t="inlineStr"/>
      <c r="I6" s="11">
        <f>SUM(I2:I5)</f>
        <v/>
      </c>
      <c r="J6" s="12" t="inlineStr"/>
      <c r="K6" s="11">
        <f>SUM(K2:K5)</f>
        <v/>
      </c>
      <c r="L6" s="11">
        <f>SUM(L2:L5)</f>
        <v/>
      </c>
      <c r="M6" s="11">
        <f>SUM(M2:M5)</f>
        <v/>
      </c>
      <c r="N6" s="11">
        <f>SUM(N2:N5)</f>
        <v/>
      </c>
      <c r="O6" s="11">
        <f>SUM(O2:O5)</f>
        <v/>
      </c>
      <c r="P6" s="11">
        <f>SUM(P2:P5)</f>
        <v/>
      </c>
    </row>
    <row r="8">
      <c r="A8" s="13" t="inlineStr">
        <is>
          <t>🟡 黄色列=手工录入  🟢 绿色列=自动计算  向下复制行即可扩展至500行</t>
        </is>
      </c>
    </row>
  </sheetData>
  <mergeCells count="2">
    <mergeCell ref="A8:P8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2026-08-08T05:16:13Z</dcterms:created>
  <dcterms:modified xmlns:dcterms="http://purl.org/dc/terms/" xmlns:xsi="http://www.w3.org/2001/XMLSchema-instance" xsi:type="dcterms:W3CDTF">2026-08-08T05:16:13Z</dcterms:modified>
</cp:coreProperties>
</file>