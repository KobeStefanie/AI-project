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项目\14-成本模版\"/>
    </mc:Choice>
  </mc:AlternateContent>
  <bookViews>
    <workbookView windowWidth="22188" windowHeight="9060" activeTab="1"/>
  </bookViews>
  <sheets>
    <sheet name="胚布报价" sheetId="1" r:id="rId1"/>
    <sheet name="验证示例" sheetId="2" r:id="rId2"/>
    <sheet name="1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<sst xmlns="http://schemas.openxmlformats.org/spreadsheetml/2006/main" count="87" uniqueCount="49">
  <si>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>原材料</t>
  </si>
  <si>
    <t>序号</t>
  </si>
  <si>
    <t>材料名称</t>
  </si>
  <si>
    <t>工艺占比%</t>
  </si>
  <si>
    <t>单位</t>
  </si>
  <si>
    <t>单价</t>
  </si>
  <si>
    <t>材料成本</t>
  </si>
  <si>
    <t>产品名称</t>
  </si>
  <si>
    <r>
      <rPr>
        <sz val="11"/>
        <color theme="1"/>
        <rFont val="宋体"/>
        <charset val="134"/>
        <scheme val="minor"/>
      </rPr>
      <t>使用方法：
输入</t>
    </r>
    <r>
      <rPr>
        <b/>
        <sz val="11"/>
        <color theme="1"/>
        <rFont val="宋体"/>
        <charset val="134"/>
        <scheme val="minor"/>
      </rPr>
      <t>浅绿色部分</t>
    </r>
    <r>
      <rPr>
        <sz val="11"/>
        <color theme="1"/>
        <rFont val="宋体"/>
        <charset val="134"/>
        <scheme val="minor"/>
      </rPr>
      <t>即可自动计算；
产品名称：浅红色部分</t>
    </r>
  </si>
  <si>
    <t>40S棉纱</t>
  </si>
  <si>
    <t>元/吨</t>
  </si>
  <si>
    <t>150D</t>
  </si>
  <si>
    <t>75D丝</t>
  </si>
  <si>
    <t>150D丝</t>
  </si>
  <si>
    <t>合计</t>
  </si>
  <si>
    <t>必须占比之和100%</t>
  </si>
  <si>
    <t>胚布成本</t>
  </si>
  <si>
    <t>文字输出</t>
  </si>
  <si>
    <t>项目</t>
  </si>
  <si>
    <t>欠重率</t>
  </si>
  <si>
    <t>百分比</t>
  </si>
  <si>
    <t>欠重金额</t>
  </si>
  <si>
    <t>织损率</t>
  </si>
  <si>
    <t>织损金额</t>
  </si>
  <si>
    <t>验证</t>
  </si>
  <si>
    <t>来料金额</t>
  </si>
  <si>
    <t>织布人工</t>
  </si>
  <si>
    <t>坯布成本</t>
  </si>
  <si>
    <t xml:space="preserve"> </t>
  </si>
  <si>
    <t>正确验证</t>
  </si>
  <si>
    <t>金额</t>
  </si>
  <si>
    <t>公式</t>
  </si>
  <si>
    <t xml:space="preserve">理论原材料 = （成品金额-织工费） ÷ (1-欠重率) ÷ (1-织损率)
</t>
  </si>
  <si>
    <t>织工费</t>
  </si>
  <si>
    <t>织损前金额</t>
  </si>
  <si>
    <t>理论原材料</t>
  </si>
  <si>
    <t>示例</t>
  </si>
  <si>
    <t xml:space="preserve">成品产量 = 理论原材料 *(1-欠重率) *(1-织损率)
</t>
  </si>
  <si>
    <t>欠重</t>
  </si>
  <si>
    <t>净重金额</t>
  </si>
  <si>
    <t>成品材料金额</t>
  </si>
  <si>
    <t>直接人工成本 = 织工费</t>
  </si>
  <si>
    <t>成品成本 = 直接材料 + 直接人工</t>
  </si>
  <si>
    <t>公式说明</t>
  </si>
  <si>
    <t xml:space="preserve">理论原材料 = 成品产量 ÷ (1-欠重率) ÷ (1-织损率)
</t>
  </si>
  <si>
    <t>客户供料金额</t>
  </si>
  <si>
    <t>（净重金额*欠重率）÷ （1-欠重率）</t>
  </si>
  <si>
    <t>（成品金额*织损率）÷ （1-织损率）</t>
  </si>
  <si>
    <t>客户想要的金额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</si>
</sst>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0"/>
      <name val="Arial"/>
      <charset val="134"/>
    </font>
    <font>
      <sz val="11"/>
      <color theme="0"/>
      <name val="宋体"/>
      <charset val="134"/>
    </font>
    <font>
      <sz val="11"/>
      <color theme="1"/>
      <name val="Arial"/>
      <charset val="134"/>
    </font>
    <font>
      <sz val="11"/>
      <color theme="1"/>
      <name val="微软雅黑"/>
      <charset val="134"/>
    </font>
    <font>
      <sz val="11"/>
      <color theme="0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0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1" borderId="9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0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8" fillId="0" borderId="0">
      <alignment vertical="center"/>
    </xf>
    <xf numFmtId="0" fontId="19" fillId="12" borderId="12">
      <alignment vertical="center"/>
    </xf>
    <xf numFmtId="0" fontId="20" fillId="13" borderId="13">
      <alignment vertical="center"/>
    </xf>
    <xf numFmtId="0" fontId="21" fillId="13" borderId="12">
      <alignment vertical="center"/>
    </xf>
    <xf numFmtId="0" fontId="22" fillId="14" borderId="14">
      <alignment vertical="center"/>
    </xf>
    <xf numFmtId="0" fontId="23" fillId="0" borderId="15">
      <alignment vertical="center"/>
    </xf>
    <xf numFmtId="0" fontId="24" fillId="0" borderId="16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29" fillId="39" borderId="0">
      <alignment vertical="center"/>
    </xf>
    <xf numFmtId="0" fontId="29" fillId="40" borderId="0">
      <alignment vertical="center"/>
    </xf>
    <xf numFmtId="0" fontId="28" fillId="41" borderId="0">
      <alignment vertical="center"/>
    </xf>
  </cellStyleXfs>
  <cellXfs count="6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3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 wrapText="1"/>
    </xf>
    <xf numFmtId="43" fontId="0" fillId="0" borderId="1" xfId="0" applyNumberFormat="1" applyBorder="1" applyAlignment="1">
      <alignment vertical="center"/>
    </xf>
    <xf numFmtId="10" fontId="3" fillId="0" borderId="1" xfId="3" applyNumberFormat="1" applyFont="1" applyBorder="1">
      <alignment vertical="center"/>
    </xf>
    <xf numFmtId="43" fontId="3" fillId="0" borderId="1" xfId="3" applyNumberFormat="1" applyFont="1" applyBorder="1">
      <alignment vertical="center"/>
    </xf>
    <xf numFmtId="0" fontId="2" fillId="2" borderId="0" xfId="0" applyFont="1" applyFill="1" applyAlignment="1">
      <alignment horizontal="center" vertical="center"/>
    </xf>
    <xf numFmtId="43" fontId="3" fillId="0" borderId="1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2" xfId="0" applyNumberForma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10" fontId="4" fillId="5" borderId="1" xfId="3" applyNumberFormat="1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43" fontId="4" fillId="0" borderId="1" xfId="0" applyNumberFormat="1" applyFont="1" applyBorder="1" applyAlignment="1" applyProtection="1">
      <alignment horizontal="center"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10" fontId="4" fillId="5" borderId="1" xfId="0" applyNumberFormat="1" applyFont="1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protection locked="0"/>
    </xf>
    <xf numFmtId="0" fontId="0" fillId="7" borderId="6" xfId="0" applyFill="1" applyBorder="1" applyAlignment="1" applyProtection="1"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protection locked="0"/>
    </xf>
    <xf numFmtId="10" fontId="6" fillId="0" borderId="1" xfId="3" applyNumberFormat="1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/>
    <xf numFmtId="43" fontId="6" fillId="0" borderId="1" xfId="0" applyNumberFormat="1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9" fillId="8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 applyProtection="1">
      <alignment horizontal="left" vertical="top" wrapText="1"/>
    </xf>
    <xf numFmtId="0" fontId="0" fillId="0" borderId="1" xfId="0" applyFill="1" applyBorder="1" applyAlignment="1" applyProtection="1">
      <alignment vertical="center"/>
    </xf>
    <xf numFmtId="43" fontId="6" fillId="0" borderId="1" xfId="0" applyNumberFormat="1" applyFont="1" applyBorder="1" applyAlignment="1" applyProtection="1">
      <alignment vertical="center"/>
    </xf>
    <xf numFmtId="10" fontId="4" fillId="9" borderId="1" xfId="3" applyNumberFormat="1" applyFont="1" applyFill="1" applyBorder="1" applyAlignment="1" applyProtection="1">
      <alignment horizontal="center" vertical="center"/>
      <protection locked="0"/>
    </xf>
    <xf numFmtId="10" fontId="4" fillId="9" borderId="1" xfId="0" applyNumberFormat="1" applyFont="1" applyFill="1" applyBorder="1" applyAlignment="1" applyProtection="1">
      <alignment horizontal="center" vertical="center"/>
      <protection locked="0"/>
    </xf>
    <xf numFmtId="0" fontId="4" fillId="10" borderId="0" xfId="0" applyFont="1" applyFill="1" applyAlignment="1" applyProtection="1">
      <alignment horizontal="center" vertical="center"/>
      <protection locked="0"/>
    </xf>
    <xf numFmtId="43" fontId="0" fillId="0" borderId="1" xfId="0" applyNumberFormat="1" applyBorder="1" applyAlignment="1" applyProtection="1">
      <alignment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427355</xdr:colOff>
      <xdr:row>0</xdr:row>
      <xdr:rowOff>635</xdr:rowOff>
    </xdr:from>
    <xdr:to>
      <xdr:col>16</xdr:col>
      <xdr:colOff>173990</xdr:colOff>
      <xdr:row>32</xdr:row>
      <xdr:rowOff>101600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9755" y="635"/>
          <a:ext cx="7343775" cy="5953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E17" sqref="E17"/>
    </sheetView>
  </sheetViews>
  <sheetFormatPr defaultColWidth="8.88888888888889" defaultRowHeight="14.4"/>
  <cols>
    <col min="1" max="1" width="5.66666666666667" style="27" customWidth="1"/>
    <col min="2" max="2" width="13" style="27" customWidth="1"/>
    <col min="3" max="3" width="10.7777777777778" style="26" customWidth="1"/>
    <col min="4" max="4" width="13.4444444444444" style="26" customWidth="1"/>
    <col min="5" max="5" width="7.77777777777778" style="26" customWidth="1"/>
    <col min="6" max="6" width="14.1111111111111" style="26" customWidth="1"/>
    <col min="7" max="7" width="17" style="26" customWidth="1"/>
    <col min="8" max="16384" width="8.88888888888889" style="26" customWidth="1"/>
  </cols>
  <sheetData>
    <row r="1" s="26" customFormat="1" ht="15.6" customHeight="1" spans="1:10">
      <c r="A1" s="28" t="s">
        <v>0</v>
      </c>
      <c r="B1" s="29"/>
      <c r="C1" s="29"/>
      <c r="D1" s="29"/>
      <c r="E1" s="29"/>
      <c r="F1" s="30"/>
    </row>
    <row r="2" s="26" customFormat="1" ht="15.6" customHeight="1" spans="1:10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2" t="s">
        <v>7</v>
      </c>
      <c r="I2" s="33" t="s">
        <v>8</v>
      </c>
      <c r="J2" s="34"/>
    </row>
    <row r="3" s="26" customFormat="1" ht="15.6" customHeight="1" spans="1:10">
      <c r="A3" s="31">
        <v>1</v>
      </c>
      <c r="B3" s="35" t="s">
        <v>9</v>
      </c>
      <c r="C3" s="36">
        <v>0.5048</v>
      </c>
      <c r="D3" s="37" t="s">
        <v>10</v>
      </c>
      <c r="E3" s="35">
        <v>26000</v>
      </c>
      <c r="F3" s="38">
        <f>IF(C3=0,0,C3*E3)</f>
        <v>13124.8</v>
      </c>
      <c r="G3" s="39" t="s">
        <v>11</v>
      </c>
      <c r="I3" s="34"/>
      <c r="J3" s="34"/>
    </row>
    <row r="4" s="26" customFormat="1" ht="15.6" customHeight="1" spans="1:10">
      <c r="A4" s="31">
        <v>2</v>
      </c>
      <c r="B4" s="35" t="s">
        <v>12</v>
      </c>
      <c r="C4" s="40">
        <v>0.2495</v>
      </c>
      <c r="D4" s="37" t="s">
        <v>10</v>
      </c>
      <c r="E4" s="35">
        <f>(9250-90+1300)</f>
        <v>10460</v>
      </c>
      <c r="F4" s="38">
        <f>IF(C4=0,0,C4*E4)</f>
        <v>2609.77</v>
      </c>
      <c r="G4" s="41"/>
      <c r="I4" s="34"/>
      <c r="J4" s="34"/>
    </row>
    <row r="5" s="26" customFormat="1" ht="15.6" customHeight="1" spans="1:10">
      <c r="A5" s="31">
        <v>3</v>
      </c>
      <c r="B5" s="35" t="s">
        <v>13</v>
      </c>
      <c r="C5" s="40">
        <v>0.2457</v>
      </c>
      <c r="D5" s="37" t="s">
        <v>10</v>
      </c>
      <c r="E5" s="35">
        <f>(10100)</f>
        <v>10100</v>
      </c>
      <c r="F5" s="38">
        <f>IF(C5=0,0,C5*E5)</f>
        <v>2481.57</v>
      </c>
      <c r="G5" s="41"/>
      <c r="I5" s="34"/>
      <c r="J5" s="34"/>
    </row>
    <row r="6" s="26" customFormat="1" ht="15.6" customHeight="1" spans="1:10">
      <c r="A6" s="31">
        <v>4</v>
      </c>
      <c r="B6" s="35"/>
      <c r="C6" s="35"/>
      <c r="D6" s="37"/>
      <c r="E6" s="35"/>
      <c r="F6" s="38">
        <f>IF(C6=0,0,C6*E6)</f>
        <v>0</v>
      </c>
      <c r="G6" s="41"/>
      <c r="I6" s="34"/>
      <c r="J6" s="34"/>
    </row>
    <row r="7" s="26" customFormat="1" ht="15.6" customHeight="1" spans="1:10">
      <c r="A7" s="31">
        <v>5</v>
      </c>
      <c r="B7" s="35"/>
      <c r="C7" s="35"/>
      <c r="D7" s="37"/>
      <c r="E7" s="35"/>
      <c r="F7" s="38">
        <f>IF(C7=0,0,C7*E7)</f>
        <v>0</v>
      </c>
      <c r="G7" s="42"/>
      <c r="I7" s="34"/>
      <c r="J7" s="34"/>
    </row>
    <row r="8" s="26" customFormat="1" ht="16.2" customHeight="1" spans="1:10">
      <c r="A8" s="43" t="s">
        <v>14</v>
      </c>
      <c r="B8" s="44"/>
      <c r="C8" s="45">
        <f>SUM(C3:C5)</f>
        <v>1</v>
      </c>
      <c r="D8" s="46" t="s">
        <v>15</v>
      </c>
      <c r="E8" s="47"/>
      <c r="F8" s="48">
        <f>SUM(F3:F5)</f>
        <v>18216.14</v>
      </c>
      <c r="I8" s="34"/>
      <c r="J8" s="34"/>
    </row>
    <row r="9" spans="1:10">
      <c r="I9" s="34"/>
      <c r="J9" s="34"/>
    </row>
    <row r="10" s="26" customFormat="1" ht="15.6" customHeight="1" spans="1:10">
      <c r="A10" s="49" t="s">
        <v>16</v>
      </c>
      <c r="B10" s="50"/>
      <c r="C10" s="50"/>
      <c r="D10" s="44"/>
      <c r="F10" s="32" t="s">
        <v>17</v>
      </c>
      <c r="I10" s="34"/>
      <c r="J10" s="34"/>
    </row>
    <row r="11" s="26" customFormat="1" ht="15.6" customHeight="1" spans="1:10">
      <c r="A11" s="51" t="s">
        <v>1</v>
      </c>
      <c r="B11" s="51" t="s">
        <v>18</v>
      </c>
      <c r="C11" s="51" t="s">
        <v>4</v>
      </c>
      <c r="D11" s="51" t="s">
        <v>5</v>
      </c>
      <c r="F11" s="52" t="str">
        <f>G3&amp;IF(B3&lt;&gt;"",CHAR(10)&amp;B3&amp;"："&amp;ROUND(C3*1000,1)&amp;"KG*"&amp;ROUND(E3/1000,2)&amp;"元="&amp;ROUND(F3,2),"")&amp;IF(B4&lt;&gt;"",CHAR(10)&amp;B4&amp;"："&amp;ROUND(C4*1000,1)&amp;"KG*"&amp;ROUND(E4/1000,2)&amp;"元="&amp;ROUND(F4,2),"")&amp;IF(B5&lt;&gt;"",CHAR(10)&amp;B5&amp;"："&amp;ROUND(C5*1000,1)&amp;"KG*"&amp;ROUND(E5/1000,2)&amp;"元="&amp;ROUND(F5,2),"")&amp;IF(B6&lt;&gt;"",CHAR(10)&amp;B6&amp;"："&amp;ROUND(C6*1000,1)&amp;"KG*"&amp;ROUND(E6/1000,2)&amp;"元="&amp;ROUND(F6,2),"")&amp;IF(B7&lt;&gt;"",CHAR(10)&amp;B7&amp;"："&amp;ROUND(C7*1000,1)&amp;"KG*"&amp;ROUND(E7/1000,2)&amp;"元="&amp;ROUND(F7,2),"")&amp;CHAR(10)&amp;"织费："&amp;D18&amp;"元/吨"&amp;CHAR(10)&amp;"织损："&amp;ROUND(D16,0)&amp;"元"&amp;CHAR(10)&amp;"胚布成本："&amp;ROUND(D19,0)&amp;"元"</f>
        <v>150D
40S棉纱：504.8KG*26元=13124.8
75D丝：249.5KG*10.46元=2609.77
150D丝：245.7KG*10.1元=2481.57
织费：1200元/吨
织损：575元
胚布成本：20363元</v>
      </c>
      <c r="G11" s="53"/>
      <c r="I11" s="34"/>
      <c r="J11" s="34"/>
    </row>
    <row r="12" s="26" customFormat="1" ht="16.2" customHeight="1" spans="1:10">
      <c r="A12" s="51">
        <v>1</v>
      </c>
      <c r="B12" s="37" t="s">
        <v>6</v>
      </c>
      <c r="C12" s="37" t="s">
        <v>10</v>
      </c>
      <c r="D12" s="54">
        <f>$F$8</f>
        <v>18216.14</v>
      </c>
      <c r="F12" s="53"/>
      <c r="G12" s="53"/>
      <c r="I12" s="34"/>
      <c r="J12" s="34"/>
    </row>
    <row r="13" s="26" customFormat="1" ht="15.6" customHeight="1" spans="1:10">
      <c r="A13" s="51">
        <v>2</v>
      </c>
      <c r="B13" s="37" t="s">
        <v>19</v>
      </c>
      <c r="C13" s="37" t="s">
        <v>20</v>
      </c>
      <c r="D13" s="55">
        <v>0.02</v>
      </c>
      <c r="F13" s="53"/>
      <c r="G13" s="53"/>
      <c r="I13" s="34"/>
      <c r="J13" s="34"/>
    </row>
    <row r="14" s="26" customFormat="1" ht="16.2" customHeight="1" spans="1:10">
      <c r="A14" s="51">
        <v>3</v>
      </c>
      <c r="B14" s="37" t="s">
        <v>21</v>
      </c>
      <c r="C14" s="37" t="s">
        <v>10</v>
      </c>
      <c r="D14" s="54">
        <f>D12/(1-D13)-D12</f>
        <v>371.757959183673</v>
      </c>
      <c r="F14" s="53"/>
      <c r="G14" s="53"/>
      <c r="I14" s="34"/>
      <c r="J14" s="34"/>
    </row>
    <row r="15" s="26" customFormat="1" ht="15.6" customHeight="1" spans="1:10">
      <c r="A15" s="51">
        <v>4</v>
      </c>
      <c r="B15" s="37" t="s">
        <v>22</v>
      </c>
      <c r="C15" s="37" t="s">
        <v>20</v>
      </c>
      <c r="D15" s="56">
        <v>0.03</v>
      </c>
      <c r="F15" s="53"/>
      <c r="G15" s="53"/>
      <c r="I15" s="34"/>
      <c r="J15" s="34"/>
    </row>
    <row r="16" s="26" customFormat="1" ht="16.2" customHeight="1" spans="1:10">
      <c r="A16" s="51">
        <v>5</v>
      </c>
      <c r="B16" s="37" t="s">
        <v>23</v>
      </c>
      <c r="C16" s="37" t="s">
        <v>10</v>
      </c>
      <c r="D16" s="48">
        <f>(D12+D14)/(1-D15)*D15</f>
        <v>574.883442036608</v>
      </c>
      <c r="E16" s="57" t="s">
        <v>24</v>
      </c>
      <c r="F16" s="53"/>
      <c r="G16" s="53"/>
      <c r="I16" s="34"/>
      <c r="J16" s="34"/>
    </row>
    <row r="17" s="26" customFormat="1" ht="15.6" customHeight="1" spans="1:10">
      <c r="A17" s="51">
        <v>6</v>
      </c>
      <c r="B17" s="37" t="s">
        <v>25</v>
      </c>
      <c r="C17" s="37" t="s">
        <v>10</v>
      </c>
      <c r="D17" s="48">
        <f>D12+D14+D16</f>
        <v>19162.7814012203</v>
      </c>
      <c r="E17" s="58">
        <f>D17*(1-D13)*(1-D15)-D12</f>
        <v>0</v>
      </c>
      <c r="F17" s="53"/>
      <c r="G17" s="53"/>
      <c r="I17" s="34"/>
      <c r="J17" s="34"/>
    </row>
    <row r="18" s="26" customFormat="1" ht="16.2" customHeight="1" spans="1:10">
      <c r="A18" s="51">
        <v>7</v>
      </c>
      <c r="B18" s="37" t="s">
        <v>26</v>
      </c>
      <c r="C18" s="37" t="s">
        <v>10</v>
      </c>
      <c r="D18" s="59">
        <v>1200</v>
      </c>
      <c r="F18" s="53"/>
      <c r="G18" s="53"/>
      <c r="I18" s="34"/>
      <c r="J18" s="34"/>
    </row>
    <row r="19" ht="16.2" spans="1:10">
      <c r="A19" s="51">
        <v>8</v>
      </c>
      <c r="B19" s="37" t="s">
        <v>27</v>
      </c>
      <c r="C19" s="37" t="s">
        <v>10</v>
      </c>
      <c r="D19" s="54">
        <f>D17+D18</f>
        <v>20362.7814012203</v>
      </c>
    </row>
    <row r="20" s="26" customFormat="1" ht="15.6" customHeight="1" spans="1:10">
      <c r="A20" s="27"/>
      <c r="B20" s="27"/>
    </row>
    <row r="25" spans="1:10">
      <c r="C25" s="26" t="s">
        <v>28</v>
      </c>
    </row>
  </sheetData>
  <mergeCells count="8">
    <mergeCell ref="A1:F1"/>
    <mergeCell ref="A8:B8"/>
    <mergeCell ref="D8:E8"/>
    <mergeCell ref="A10:D10"/>
    <mergeCell ref="F10:G10"/>
    <mergeCell ref="G3:G7"/>
    <mergeCell ref="F11:G18"/>
    <mergeCell ref="I2:J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5" sqref="D15"/>
    </sheetView>
  </sheetViews>
  <sheetFormatPr defaultColWidth="8.88888888888889" defaultRowHeight="14.4" outlineLevelCol="3"/>
  <cols>
    <col min="1" max="1" width="18.6666666666667" customWidth="1"/>
    <col min="2" max="2" width="12.8888888888889" customWidth="1"/>
    <col min="3" max="3" width="6.66666666666667" customWidth="1"/>
    <col min="4" max="4" width="19.5555555555556" customWidth="1"/>
    <col min="5" max="5" width="13"/>
  </cols>
  <sheetData>
    <row r="1" spans="1:4">
      <c r="A1" s="19" t="s">
        <v>29</v>
      </c>
      <c r="B1" s="20"/>
      <c r="C1" s="20"/>
      <c r="D1" s="20"/>
    </row>
    <row r="2" spans="1:4">
      <c r="A2" s="21" t="s">
        <v>18</v>
      </c>
      <c r="B2" s="21" t="s">
        <v>30</v>
      </c>
      <c r="C2" s="22" t="s">
        <v>24</v>
      </c>
      <c r="D2" s="22" t="s">
        <v>31</v>
      </c>
    </row>
    <row r="3" spans="1:4">
      <c r="A3" s="2" t="s">
        <v>16</v>
      </c>
      <c r="B3" s="5">
        <f>胚布报价!D19</f>
        <v>20362.7814012203</v>
      </c>
      <c r="C3" s="23">
        <f>B3-胚布报价!D19</f>
        <v>0</v>
      </c>
      <c r="D3" s="4" t="s">
        <v>32</v>
      </c>
    </row>
    <row r="4" spans="1:4">
      <c r="A4" s="2" t="s">
        <v>33</v>
      </c>
      <c r="B4" s="23">
        <f>胚布报价!D18</f>
        <v>1200</v>
      </c>
      <c r="C4" s="23">
        <f>B4-胚布报价!D18</f>
        <v>0</v>
      </c>
      <c r="D4" s="24"/>
    </row>
    <row r="5" spans="1:4">
      <c r="A5" s="2" t="s">
        <v>25</v>
      </c>
      <c r="B5" s="5">
        <f>B3-B4</f>
        <v>19162.7814012203</v>
      </c>
      <c r="C5" s="23">
        <f>B5-胚布报价!D17</f>
        <v>0</v>
      </c>
      <c r="D5" s="4"/>
    </row>
    <row r="6" spans="1:4">
      <c r="A6" s="1" t="s">
        <v>22</v>
      </c>
      <c r="B6" s="25">
        <f>胚布报价!D15</f>
        <v>0.03</v>
      </c>
      <c r="C6" s="23">
        <f>B6-胚布报价!D15</f>
        <v>0</v>
      </c>
      <c r="D6" s="4"/>
    </row>
    <row r="7" spans="1:4">
      <c r="A7" s="2" t="s">
        <v>23</v>
      </c>
      <c r="B7" s="23">
        <f>B5*B6</f>
        <v>574.883442036608</v>
      </c>
      <c r="C7" s="23">
        <f>B7-胚布报价!D16</f>
        <v>0</v>
      </c>
      <c r="D7" s="4"/>
    </row>
    <row r="8" spans="1:4">
      <c r="A8" s="2" t="s">
        <v>34</v>
      </c>
      <c r="B8" s="23">
        <f>B5-B7</f>
        <v>18587.8979591837</v>
      </c>
      <c r="C8" s="23">
        <f>B8-(胚布报价!D12+胚布报价!D14)</f>
        <v>0</v>
      </c>
      <c r="D8" s="4"/>
    </row>
    <row r="9" spans="1:4">
      <c r="A9" s="1" t="s">
        <v>19</v>
      </c>
      <c r="B9" s="25">
        <f>胚布报价!D13</f>
        <v>0.02</v>
      </c>
      <c r="C9" s="23">
        <f>B9-胚布报价!D13</f>
        <v>0</v>
      </c>
      <c r="D9" s="4"/>
    </row>
    <row r="10" spans="1:4">
      <c r="A10" s="2" t="s">
        <v>21</v>
      </c>
      <c r="B10" s="23">
        <f>B8*B9</f>
        <v>371.757959183673</v>
      </c>
      <c r="C10" s="23">
        <f>B10-胚布报价!D14</f>
        <v>5.11590769747272e-13</v>
      </c>
      <c r="D10" s="4"/>
    </row>
    <row r="11" spans="1:4">
      <c r="A11" s="2" t="s">
        <v>35</v>
      </c>
      <c r="B11" s="5">
        <f>B8-B10</f>
        <v>18216.14</v>
      </c>
      <c r="C11" s="5">
        <f>胚布报价!D12-B11</f>
        <v>0</v>
      </c>
      <c r="D11" s="4"/>
    </row>
  </sheetData>
  <mergeCells count="2">
    <mergeCell ref="A1:D1"/>
    <mergeCell ref="D3:D1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C27" sqref="C27"/>
    </sheetView>
  </sheetViews>
  <sheetFormatPr defaultColWidth="8.88888888888889" defaultRowHeight="14.4" outlineLevelCol="6"/>
  <cols>
    <col min="1" max="1" width="18.6666666666667" customWidth="1"/>
    <col min="2" max="2" width="12.8888888888889" customWidth="1"/>
    <col min="3" max="3" width="38.8888888888889" customWidth="1"/>
    <col min="4" max="4" width="17.8888888888889" customWidth="1"/>
    <col min="5" max="5" width="13"/>
  </cols>
  <sheetData>
    <row r="1" spans="1:7">
      <c r="A1" s="1" t="s">
        <v>18</v>
      </c>
      <c r="B1" s="2" t="s">
        <v>36</v>
      </c>
      <c r="C1" s="2" t="s">
        <v>31</v>
      </c>
      <c r="E1" s="2" t="s">
        <v>29</v>
      </c>
    </row>
    <row r="2" spans="1:7">
      <c r="A2" s="2" t="s">
        <v>25</v>
      </c>
      <c r="B2" s="3">
        <v>1000</v>
      </c>
      <c r="C2" s="4" t="s">
        <v>37</v>
      </c>
      <c r="E2" s="5">
        <f>胚布报价!D12</f>
        <v>18216.14</v>
      </c>
    </row>
    <row r="3" spans="1:7">
      <c r="A3" s="1" t="s">
        <v>38</v>
      </c>
      <c r="B3" s="6">
        <v>0.02</v>
      </c>
      <c r="C3" s="4"/>
      <c r="E3" s="6">
        <f>B3</f>
        <v>0.02</v>
      </c>
    </row>
    <row r="4" spans="1:7">
      <c r="A4" s="2" t="s">
        <v>21</v>
      </c>
      <c r="B4" s="7">
        <f>B2*B3</f>
        <v>20</v>
      </c>
      <c r="C4" s="4"/>
      <c r="E4" s="5">
        <f>E2*E3</f>
        <v>364.3228</v>
      </c>
    </row>
    <row r="5" spans="1:7">
      <c r="A5" s="2" t="s">
        <v>39</v>
      </c>
      <c r="B5" s="3">
        <f>B2-B4</f>
        <v>980</v>
      </c>
      <c r="C5" s="4"/>
      <c r="E5" s="3">
        <f>E2-E4</f>
        <v>17851.8172</v>
      </c>
    </row>
    <row r="6" spans="1:7">
      <c r="A6" s="1" t="s">
        <v>22</v>
      </c>
      <c r="B6" s="6">
        <v>0.03</v>
      </c>
      <c r="C6" s="4"/>
      <c r="E6" s="6">
        <f>B6</f>
        <v>0.03</v>
      </c>
    </row>
    <row r="7" spans="1:7">
      <c r="A7" s="2" t="s">
        <v>23</v>
      </c>
      <c r="B7" s="3">
        <f>B5*B6</f>
        <v>29.4</v>
      </c>
      <c r="C7" s="4"/>
      <c r="E7" s="5">
        <f>E5*E6</f>
        <v>535.554516</v>
      </c>
    </row>
    <row r="8" spans="1:7">
      <c r="A8" s="2" t="s">
        <v>40</v>
      </c>
      <c r="B8" s="3">
        <f>B5-B7</f>
        <v>950.6</v>
      </c>
      <c r="C8" s="4"/>
      <c r="E8" s="5">
        <f>E5-E7</f>
        <v>17316.262684</v>
      </c>
      <c r="G8" t="s">
        <v>41</v>
      </c>
    </row>
    <row r="9" spans="1:7">
      <c r="A9" s="8"/>
      <c r="B9" s="9"/>
      <c r="E9" s="5"/>
      <c r="G9" t="s">
        <v>42</v>
      </c>
    </row>
    <row r="11" spans="1:7">
      <c r="A11" s="10" t="s">
        <v>29</v>
      </c>
      <c r="B11" s="11"/>
      <c r="C11" s="12"/>
    </row>
    <row r="12" spans="1:7">
      <c r="A12" s="1" t="s">
        <v>18</v>
      </c>
      <c r="B12" s="1" t="s">
        <v>30</v>
      </c>
      <c r="C12" s="2" t="s">
        <v>31</v>
      </c>
      <c r="E12" s="1" t="s">
        <v>43</v>
      </c>
    </row>
    <row r="13" spans="1:7">
      <c r="A13" s="2" t="s">
        <v>25</v>
      </c>
      <c r="B13" s="13">
        <f>胚布报价!D17</f>
        <v>19162.7814012203</v>
      </c>
      <c r="C13" s="14" t="s">
        <v>44</v>
      </c>
      <c r="E13" s="15" t="s">
        <v>45</v>
      </c>
    </row>
    <row r="14" spans="1:7">
      <c r="A14" s="1" t="s">
        <v>19</v>
      </c>
      <c r="B14" s="16">
        <f>胚布报价!D13</f>
        <v>0.02</v>
      </c>
      <c r="C14" s="17"/>
      <c r="E14" s="15"/>
    </row>
    <row r="15" spans="1:7">
      <c r="A15" s="1" t="s">
        <v>21</v>
      </c>
      <c r="B15" s="13">
        <f>(B13-B17)*B14</f>
        <v>371.757959183673</v>
      </c>
      <c r="C15" s="17"/>
      <c r="E15" s="15" t="s">
        <v>46</v>
      </c>
    </row>
    <row r="16" spans="1:7">
      <c r="A16" s="1" t="s">
        <v>22</v>
      </c>
      <c r="B16" s="16">
        <f>胚布报价!D15</f>
        <v>0.03</v>
      </c>
      <c r="C16" s="17"/>
      <c r="E16" s="15"/>
    </row>
    <row r="17" spans="1:5">
      <c r="A17" s="1" t="s">
        <v>23</v>
      </c>
      <c r="B17" s="13">
        <f>B13*B16</f>
        <v>574.883442036608</v>
      </c>
      <c r="C17" s="17"/>
      <c r="E17" s="15" t="s">
        <v>47</v>
      </c>
    </row>
    <row r="18" spans="1:5">
      <c r="A18" s="2" t="s">
        <v>40</v>
      </c>
      <c r="B18" s="13">
        <f>B13*(1-B14)*(1-B16)</f>
        <v>18216.14</v>
      </c>
      <c r="C18" s="18"/>
      <c r="E18" s="15" t="s">
        <v>48</v>
      </c>
    </row>
  </sheetData>
  <mergeCells count="3">
    <mergeCell ref="A11:B11"/>
    <mergeCell ref="C2:C8"/>
    <mergeCell ref="C13:C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胚布报价</vt:lpstr>
      <vt:lpstr>验证示例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Kobe Stefanie</cp:lastModifiedBy>
  <dcterms:created xsi:type="dcterms:W3CDTF">2026-08-22T08:21:00Z</dcterms:created>
  <dcterms:modified xsi:type="dcterms:W3CDTF">2026-08-24T09:18:22Z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575588EE1B754E4BB76EF17BFD1EC0D8_13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