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1"/>
  </bookViews>
  <sheets>
    <sheet name="周数据对比" sheetId="1" r:id="rId1"/>
    <sheet name="趋势图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<sst xmlns="http://schemas.openxmlformats.org/spreadsheetml/2006/main" count="42" uniqueCount="40">
  <si>
    <t>项目</t>
  </si>
  <si>
    <t>2026年第26周 6/22-6/28</t>
  </si>
  <si>
    <t>2026年第25周 6/15-6/21</t>
  </si>
  <si>
    <t>2026年第24周 6/8-6/14</t>
  </si>
  <si>
    <t>2026年第23周 6/1-6/7</t>
  </si>
  <si>
    <t>A-B</t>
  </si>
  <si>
    <t>B-C</t>
  </si>
  <si>
    <t>C-D</t>
  </si>
  <si>
    <t>QW - Quality Work</t>
  </si>
  <si>
    <t>1.1-AI</t>
  </si>
  <si>
    <t>1.2-心理咨询</t>
  </si>
  <si>
    <t>1.3-读书</t>
  </si>
  <si>
    <t>1.4-注会变现</t>
  </si>
  <si>
    <t>1.5-投资</t>
  </si>
  <si>
    <t>1.6-自我管理</t>
  </si>
  <si>
    <t>1.7-其他</t>
  </si>
  <si>
    <t>GFP - Guilt Free Play</t>
  </si>
  <si>
    <t>2.1-演出</t>
  </si>
  <si>
    <t>2.2-运动</t>
  </si>
  <si>
    <t>2.3-约会</t>
  </si>
  <si>
    <t>2.4-旅行</t>
  </si>
  <si>
    <t>2.5-游戏</t>
  </si>
  <si>
    <t>2.6-小资</t>
  </si>
  <si>
    <t>2.7-其他</t>
  </si>
  <si>
    <t>Proc - Procrastination</t>
  </si>
  <si>
    <t>3.1-睡懒觉</t>
  </si>
  <si>
    <t>3.2-刷手机</t>
  </si>
  <si>
    <t>3.3-拖延</t>
  </si>
  <si>
    <t>3.4-无效/低效社交</t>
  </si>
  <si>
    <t>3.5-其他</t>
  </si>
  <si>
    <t>Rest</t>
  </si>
  <si>
    <t>MW</t>
  </si>
  <si>
    <t>周次</t>
  </si>
  <si>
    <t>2026-W26</t>
  </si>
  <si>
    <t>2026-W25</t>
  </si>
  <si>
    <t>2026-W24</t>
  </si>
  <si>
    <t>2026-W23</t>
  </si>
  <si>
    <t>QW</t>
  </si>
  <si>
    <t>GFP</t>
  </si>
  <si>
    <t>Proc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</si>
</sst>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FFFF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E2E8F0"/>
        <bgColor indexed="64"/>
      </patternFill>
    </fill>
    <fill>
      <patternFill patternType="solid">
        <fgColor rgb="FF16A34A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DC2626"/>
        <bgColor indexed="64"/>
      </patternFill>
    </fill>
    <fill>
      <patternFill patternType="solid">
        <fgColor rgb="FF4ADE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8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10" borderId="6" applyNumberFormat="0" applyAlignment="0" applyProtection="0">
      <alignment vertical="center"/>
    </xf>
    <xf numFmtId="0" fontId="15" fillId="10" borderId="5" applyNumberFormat="0" applyAlignment="0" applyProtection="0">
      <alignment vertical="center"/>
    </xf>
    <xf numFmtId="0" fontId="16" fillId="11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43" fontId="0" fillId="0" borderId="0" xfId="0" applyNumberFormat="1"/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selection activeCell="B3" sqref="B3:F10"/>
    </sheetView>
  </sheetViews>
  <sheetFormatPr defaultColWidth="9" defaultRowHeight="14.4" outlineLevelCol="7"/>
  <cols>
    <col min="1" max="1" width="25" customWidth="1"/>
    <col min="2" max="8" width="15" customWidth="1"/>
  </cols>
  <sheetData>
    <row r="1" s="8" customFormat="1" spans="1:8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>
      <c r="A2" s="9" t="s">
        <v>8</v>
      </c>
      <c r="B2" s="9">
        <v>105</v>
      </c>
      <c r="C2" s="9">
        <v>74</v>
      </c>
      <c r="D2" s="9">
        <v>70</v>
      </c>
      <c r="E2" s="9">
        <v>79</v>
      </c>
      <c r="F2">
        <v>31</v>
      </c>
      <c r="G2">
        <v>4</v>
      </c>
      <c r="H2">
        <v>-9</v>
      </c>
    </row>
    <row r="3" spans="1:8">
      <c r="A3" s="10" t="s">
        <v>9</v>
      </c>
      <c r="B3" s="10">
        <v>29</v>
      </c>
      <c r="C3" s="10">
        <v>8</v>
      </c>
      <c r="D3" s="10">
        <v>28</v>
      </c>
      <c r="E3" s="10">
        <v>64</v>
      </c>
      <c r="F3" s="10">
        <v>21</v>
      </c>
      <c r="G3" s="10">
        <v>-20</v>
      </c>
      <c r="H3" s="10">
        <v>-36</v>
      </c>
    </row>
    <row r="4" spans="1:8">
      <c r="A4" s="10" t="s">
        <v>10</v>
      </c>
      <c r="B4" s="10">
        <v>68</v>
      </c>
      <c r="C4" s="10">
        <v>52</v>
      </c>
      <c r="D4" s="10">
        <v>31</v>
      </c>
      <c r="E4" s="10">
        <v>3</v>
      </c>
      <c r="F4" s="10">
        <v>16</v>
      </c>
      <c r="G4" s="10">
        <v>21</v>
      </c>
      <c r="H4" s="10">
        <v>28</v>
      </c>
    </row>
    <row r="5" spans="1:8">
      <c r="A5" s="10" t="s">
        <v>11</v>
      </c>
      <c r="B5" s="10">
        <v>0</v>
      </c>
      <c r="C5" s="10">
        <v>0</v>
      </c>
      <c r="D5" s="10">
        <v>1</v>
      </c>
      <c r="E5" s="10">
        <v>0</v>
      </c>
      <c r="F5" s="10">
        <v>0</v>
      </c>
      <c r="G5" s="10">
        <v>-1</v>
      </c>
      <c r="H5" s="10">
        <v>1</v>
      </c>
    </row>
    <row r="6" spans="1:8">
      <c r="A6" s="10" t="s">
        <v>12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</row>
    <row r="7" spans="1:8">
      <c r="A7" s="10" t="s">
        <v>13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</row>
    <row r="8" spans="1:8">
      <c r="A8" s="10" t="s">
        <v>14</v>
      </c>
      <c r="B8" s="10">
        <v>3</v>
      </c>
      <c r="C8" s="10">
        <v>10</v>
      </c>
      <c r="D8" s="10">
        <v>0</v>
      </c>
      <c r="E8" s="10">
        <v>9</v>
      </c>
      <c r="F8" s="10">
        <v>-7</v>
      </c>
      <c r="G8" s="10">
        <v>10</v>
      </c>
      <c r="H8" s="10">
        <v>-9</v>
      </c>
    </row>
    <row r="9" spans="1:8">
      <c r="A9" s="10" t="s">
        <v>15</v>
      </c>
      <c r="B9" s="10">
        <v>5</v>
      </c>
      <c r="C9" s="10">
        <v>4</v>
      </c>
      <c r="D9" s="10">
        <v>10</v>
      </c>
      <c r="E9" s="10">
        <v>3</v>
      </c>
      <c r="F9" s="10">
        <v>1</v>
      </c>
      <c r="G9" s="10">
        <v>-6</v>
      </c>
      <c r="H9" s="10">
        <v>7</v>
      </c>
    </row>
    <row r="10" spans="1:8">
      <c r="A10" s="11" t="s">
        <v>16</v>
      </c>
      <c r="B10" s="11">
        <v>22</v>
      </c>
      <c r="C10" s="11">
        <v>0</v>
      </c>
      <c r="D10" s="11">
        <v>15</v>
      </c>
      <c r="E10" s="11">
        <v>8</v>
      </c>
      <c r="F10">
        <v>22</v>
      </c>
      <c r="G10">
        <v>-15</v>
      </c>
      <c r="H10">
        <v>7</v>
      </c>
    </row>
    <row r="11" spans="1:8">
      <c r="A11" s="10" t="s">
        <v>17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</row>
    <row r="12" spans="1:8">
      <c r="A12" s="10" t="s">
        <v>18</v>
      </c>
      <c r="B12" s="10">
        <v>2</v>
      </c>
      <c r="C12" s="10">
        <v>0</v>
      </c>
      <c r="D12" s="10">
        <v>11</v>
      </c>
      <c r="E12" s="10">
        <v>0</v>
      </c>
      <c r="F12" s="10">
        <v>2</v>
      </c>
      <c r="G12" s="10">
        <v>-11</v>
      </c>
      <c r="H12" s="10">
        <v>11</v>
      </c>
    </row>
    <row r="13" spans="1:8">
      <c r="A13" s="10" t="s">
        <v>19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</row>
    <row r="14" spans="1:8">
      <c r="A14" s="10" t="s">
        <v>20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</row>
    <row r="15" spans="1:8">
      <c r="A15" s="10" t="s">
        <v>21</v>
      </c>
      <c r="B15" s="10">
        <v>0</v>
      </c>
      <c r="C15" s="10">
        <v>0</v>
      </c>
      <c r="D15" s="10">
        <v>4</v>
      </c>
      <c r="E15" s="10">
        <v>4</v>
      </c>
      <c r="F15" s="10">
        <v>0</v>
      </c>
      <c r="G15" s="10">
        <v>-4</v>
      </c>
      <c r="H15" s="10">
        <v>0</v>
      </c>
    </row>
    <row r="16" spans="1:8">
      <c r="A16" s="10" t="s">
        <v>22</v>
      </c>
      <c r="B16" s="10">
        <v>20</v>
      </c>
      <c r="C16" s="10">
        <v>0</v>
      </c>
      <c r="D16" s="10">
        <v>0</v>
      </c>
      <c r="E16" s="10">
        <v>4</v>
      </c>
      <c r="F16" s="10">
        <v>20</v>
      </c>
      <c r="G16" s="10">
        <v>0</v>
      </c>
      <c r="H16" s="10">
        <v>-4</v>
      </c>
    </row>
    <row r="17" spans="1:8">
      <c r="A17" s="10" t="s">
        <v>23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</row>
    <row r="18" spans="1:8">
      <c r="A18" s="12" t="s">
        <v>24</v>
      </c>
      <c r="B18" s="12">
        <v>32</v>
      </c>
      <c r="C18" s="12">
        <v>103</v>
      </c>
      <c r="D18" s="12">
        <v>73</v>
      </c>
      <c r="E18" s="12">
        <v>88</v>
      </c>
      <c r="F18">
        <v>-71</v>
      </c>
      <c r="G18">
        <v>30</v>
      </c>
      <c r="H18">
        <v>-15</v>
      </c>
    </row>
    <row r="19" spans="1:8">
      <c r="A19" s="10" t="s">
        <v>25</v>
      </c>
      <c r="B19" s="10">
        <v>3</v>
      </c>
      <c r="C19" s="10">
        <v>7</v>
      </c>
      <c r="D19" s="10">
        <v>16</v>
      </c>
      <c r="E19" s="10">
        <v>29</v>
      </c>
      <c r="F19" s="10">
        <v>-4</v>
      </c>
      <c r="G19" s="10">
        <v>-9</v>
      </c>
      <c r="H19" s="10">
        <v>-13</v>
      </c>
    </row>
    <row r="20" spans="1:8">
      <c r="A20" s="10" t="s">
        <v>26</v>
      </c>
      <c r="B20" s="10">
        <v>28</v>
      </c>
      <c r="C20" s="10">
        <v>38</v>
      </c>
      <c r="D20" s="10">
        <v>45</v>
      </c>
      <c r="E20" s="10">
        <v>50</v>
      </c>
      <c r="F20" s="10">
        <v>-10</v>
      </c>
      <c r="G20" s="10">
        <v>-7</v>
      </c>
      <c r="H20" s="10">
        <v>-5</v>
      </c>
    </row>
    <row r="21" spans="1:8">
      <c r="A21" s="10" t="s">
        <v>27</v>
      </c>
      <c r="B21" s="10">
        <v>0</v>
      </c>
      <c r="C21" s="10">
        <v>2</v>
      </c>
      <c r="D21" s="10">
        <v>12</v>
      </c>
      <c r="E21" s="10">
        <v>9</v>
      </c>
      <c r="F21" s="10">
        <v>-2</v>
      </c>
      <c r="G21" s="10">
        <v>-10</v>
      </c>
      <c r="H21" s="10">
        <v>3</v>
      </c>
    </row>
    <row r="22" spans="1:8">
      <c r="A22" s="10" t="s">
        <v>28</v>
      </c>
      <c r="B22" s="10">
        <v>1</v>
      </c>
      <c r="C22" s="10">
        <v>0</v>
      </c>
      <c r="D22" s="10">
        <v>0</v>
      </c>
      <c r="E22" s="10">
        <v>0</v>
      </c>
      <c r="F22" s="10">
        <v>1</v>
      </c>
      <c r="G22" s="10">
        <v>0</v>
      </c>
      <c r="H22" s="10">
        <v>0</v>
      </c>
    </row>
    <row r="23" spans="1:8">
      <c r="A23" s="10" t="s">
        <v>29</v>
      </c>
      <c r="B23" s="10">
        <v>0</v>
      </c>
      <c r="C23" s="10">
        <v>56</v>
      </c>
      <c r="D23" s="10">
        <v>0</v>
      </c>
      <c r="E23" s="10">
        <v>0</v>
      </c>
      <c r="F23" s="10">
        <v>-56</v>
      </c>
      <c r="G23" s="10">
        <v>56</v>
      </c>
      <c r="H23" s="10">
        <v>0</v>
      </c>
    </row>
    <row r="24" spans="1:8">
      <c r="A24" s="13" t="s">
        <v>30</v>
      </c>
      <c r="B24" s="13">
        <v>78</v>
      </c>
      <c r="C24" s="13">
        <v>61</v>
      </c>
      <c r="D24" s="13">
        <v>77</v>
      </c>
      <c r="E24" s="13">
        <v>61</v>
      </c>
      <c r="F24">
        <v>17</v>
      </c>
      <c r="G24">
        <v>-16</v>
      </c>
      <c r="H24">
        <v>16</v>
      </c>
    </row>
    <row r="25" spans="1:8">
      <c r="A25" s="14" t="s">
        <v>31</v>
      </c>
      <c r="B25" s="14">
        <v>1</v>
      </c>
      <c r="C25" s="14">
        <v>0</v>
      </c>
      <c r="D25" s="14">
        <v>3</v>
      </c>
      <c r="E25" s="14">
        <v>3</v>
      </c>
      <c r="F25">
        <v>1</v>
      </c>
      <c r="G25">
        <v>-3</v>
      </c>
      <c r="H25">
        <v>0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tabSelected="1" topLeftCell="A7" workbookViewId="0">
      <selection activeCell="D13" sqref="D13"/>
    </sheetView>
  </sheetViews>
  <sheetFormatPr defaultColWidth="9" defaultRowHeight="14.4"/>
  <cols>
    <col min="1" max="1" width="15" customWidth="1"/>
    <col min="2" max="5" width="12" customWidth="1"/>
    <col min="7" max="10" width="12.8888888888889"/>
  </cols>
  <sheetData>
    <row r="1" spans="1:10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10">
      <c r="A2" s="2" t="s">
        <v>37</v>
      </c>
      <c r="B2" s="2">
        <v>105</v>
      </c>
      <c r="C2" s="2">
        <v>74</v>
      </c>
      <c r="D2" s="2">
        <v>70</v>
      </c>
      <c r="E2" s="2">
        <v>79</v>
      </c>
      <c r="G2">
        <f>B2+B3</f>
        <v>127</v>
      </c>
      <c r="H2">
        <f>C2+C3</f>
        <v>74</v>
      </c>
      <c r="I2">
        <f>D2+D3</f>
        <v>85</v>
      </c>
      <c r="J2">
        <f>E2+E3</f>
        <v>87</v>
      </c>
    </row>
    <row r="3" spans="1:10">
      <c r="A3" s="3" t="s">
        <v>38</v>
      </c>
      <c r="B3" s="3">
        <v>22</v>
      </c>
      <c r="C3" s="3">
        <v>0</v>
      </c>
      <c r="D3" s="3">
        <v>15</v>
      </c>
      <c r="E3" s="3">
        <v>8</v>
      </c>
      <c r="G3">
        <f>G2/2</f>
        <v>63.5</v>
      </c>
      <c r="H3">
        <f>H2/2</f>
        <v>37</v>
      </c>
      <c r="I3">
        <f>I2/2</f>
        <v>42.5</v>
      </c>
      <c r="J3">
        <f>J2/2</f>
        <v>43.5</v>
      </c>
    </row>
    <row r="4" spans="1:10">
      <c r="A4" s="4" t="s">
        <v>39</v>
      </c>
      <c r="B4" s="4">
        <v>32</v>
      </c>
      <c r="C4" s="4">
        <v>103</v>
      </c>
      <c r="D4" s="4">
        <v>73</v>
      </c>
      <c r="E4" s="4">
        <v>88</v>
      </c>
      <c r="G4" s="5">
        <f>G3/7</f>
        <v>9.07142857142857</v>
      </c>
      <c r="H4" s="5">
        <f>H3/7</f>
        <v>5.28571428571429</v>
      </c>
      <c r="I4" s="5">
        <f>I3/7</f>
        <v>6.07142857142857</v>
      </c>
      <c r="J4" s="5">
        <f>J3/7</f>
        <v>6.21428571428571</v>
      </c>
    </row>
    <row r="5" spans="1:10">
      <c r="A5" s="6" t="s">
        <v>30</v>
      </c>
      <c r="B5" s="6">
        <v>78</v>
      </c>
      <c r="C5" s="6">
        <v>61</v>
      </c>
      <c r="D5" s="6">
        <v>77</v>
      </c>
      <c r="E5" s="6">
        <v>61</v>
      </c>
      <c r="G5">
        <f>B4/2</f>
        <v>16</v>
      </c>
      <c r="H5">
        <f>C4/2</f>
        <v>51.5</v>
      </c>
      <c r="I5">
        <f>D4/2</f>
        <v>36.5</v>
      </c>
      <c r="J5">
        <f>E4/2</f>
        <v>44</v>
      </c>
    </row>
    <row r="6" spans="1:10">
      <c r="A6" s="7" t="s">
        <v>31</v>
      </c>
      <c r="B6" s="7">
        <v>1</v>
      </c>
      <c r="C6" s="7">
        <v>0</v>
      </c>
      <c r="D6" s="7">
        <v>3</v>
      </c>
      <c r="E6" s="7">
        <v>3</v>
      </c>
      <c r="G6">
        <f>G5/7</f>
        <v>2.28571428571429</v>
      </c>
      <c r="H6">
        <f>H5/7</f>
        <v>7.35714285714286</v>
      </c>
      <c r="I6">
        <f>I5/7</f>
        <v>5.21428571428571</v>
      </c>
      <c r="J6">
        <f>J5/7</f>
        <v>6.28571428571429</v>
      </c>
    </row>
    <row r="8" spans="1:10">
      <c r="G8">
        <f>B5/2</f>
        <v>39</v>
      </c>
      <c r="H8">
        <f>C5/2</f>
        <v>30.5</v>
      </c>
      <c r="I8">
        <f>D5/2</f>
        <v>38.5</v>
      </c>
      <c r="J8">
        <f>E5/2</f>
        <v>30.5</v>
      </c>
    </row>
    <row r="9" spans="1:10">
      <c r="G9">
        <f>G8/7</f>
        <v>5.57142857142857</v>
      </c>
      <c r="H9">
        <f>H8/7</f>
        <v>4.35714285714286</v>
      </c>
      <c r="I9">
        <f>I8/7</f>
        <v>5.5</v>
      </c>
      <c r="J9">
        <f>J8/7</f>
        <v>4.35714285714286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周数据对比</vt:lpstr>
      <vt:lpstr>趋势图表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Kobe Stefanie</cp:lastModifiedBy>
  <dcterms:created xsi:type="dcterms:W3CDTF">2026-06-29T04:26:00Z</dcterms:created>
  <dcterms:modified xsi:type="dcterms:W3CDTF">2026-06-29T18:12:16Z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2BFC7C9450674395BCE5B36ED0412982_12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