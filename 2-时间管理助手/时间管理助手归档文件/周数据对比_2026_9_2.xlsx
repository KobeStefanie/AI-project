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-项目\2-时间管理助手\时间管理助手归档文件\"/>
    </mc:Choice>
  </mc:AlternateContent>
  <bookViews>
    <workbookView windowWidth="22188" windowHeight="9060"/>
  </bookViews>
  <sheets>
    <sheet name="周数据对比" sheetId="1" r:id="rId1"/>
    <sheet name="趋势图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<sst xmlns="http://schemas.openxmlformats.org/spreadsheetml/2006/main" count="76" uniqueCount="69">
  <si>
    <t>项目</t>
  </si>
  <si>
    <t>2026年第36周 8/31-9/6</t>
  </si>
  <si>
    <t>2026年第35周 8/24-8/30</t>
  </si>
  <si>
    <t>2026年第34周 8/17-8/23</t>
  </si>
  <si>
    <t>2026年第33周 8/10-8/16</t>
  </si>
  <si>
    <t>2026年第32周 8/3-8/9</t>
  </si>
  <si>
    <t>2026年第31周 7/27-8/2</t>
  </si>
  <si>
    <t>2026年第30周 7/20-7/26</t>
  </si>
  <si>
    <t>2026年第29周 7/13-7/19</t>
  </si>
  <si>
    <t>2026年第28周 7/6-7/12</t>
  </si>
  <si>
    <t>2026年第27周 6/29-7/5</t>
  </si>
  <si>
    <t>2026年第26周 6/22-6/28</t>
  </si>
  <si>
    <t>2026年第25周 6/15-6/21</t>
  </si>
  <si>
    <t>A-B</t>
  </si>
  <si>
    <t>B-C</t>
  </si>
  <si>
    <t>C-D</t>
  </si>
  <si>
    <t>D-E</t>
  </si>
  <si>
    <t>E-F</t>
  </si>
  <si>
    <t>F-G</t>
  </si>
  <si>
    <t>G-H</t>
  </si>
  <si>
    <t>H-I</t>
  </si>
  <si>
    <t>I-J</t>
  </si>
  <si>
    <t>J-K</t>
  </si>
  <si>
    <t>K-L</t>
  </si>
  <si>
    <t>QW - Quality Work</t>
  </si>
  <si>
    <t>1.1-AI</t>
  </si>
  <si>
    <t>1.2-心理咨询</t>
  </si>
  <si>
    <t>1.3-读书</t>
  </si>
  <si>
    <t>1.4-注会变现</t>
  </si>
  <si>
    <t>1.5-投资</t>
  </si>
  <si>
    <t>1.6-自我管理</t>
  </si>
  <si>
    <t>1.7-其他</t>
  </si>
  <si>
    <t>GFP - Guilt Free Play</t>
  </si>
  <si>
    <t>2.1-演出</t>
  </si>
  <si>
    <t>2.2-运动</t>
  </si>
  <si>
    <t>2.3-约会</t>
  </si>
  <si>
    <t>2.4-旅行</t>
  </si>
  <si>
    <t>2.5-游戏</t>
  </si>
  <si>
    <t>2.6-小资</t>
  </si>
  <si>
    <t>2.7-其他</t>
  </si>
  <si>
    <t>Proc - Procrastination</t>
  </si>
  <si>
    <t>3.1-睡懒觉</t>
  </si>
  <si>
    <t>3.2-刷手机</t>
  </si>
  <si>
    <t>3.3-拖延</t>
  </si>
  <si>
    <t>3.4-无效/低效社交</t>
  </si>
  <si>
    <t>3.5-其他</t>
  </si>
  <si>
    <t>Rest</t>
  </si>
  <si>
    <t>MW</t>
  </si>
  <si>
    <t>合计</t>
  </si>
  <si>
    <t>爽</t>
  </si>
  <si>
    <t>无效</t>
  </si>
  <si>
    <t>休息</t>
  </si>
  <si>
    <t>轻质</t>
  </si>
  <si>
    <t>周次</t>
  </si>
  <si>
    <t>2026-W36</t>
  </si>
  <si>
    <t>2026-W35</t>
  </si>
  <si>
    <t>2026-W34</t>
  </si>
  <si>
    <t>2026-W33</t>
  </si>
  <si>
    <t>2026-W32</t>
  </si>
  <si>
    <t>2026-W31</t>
  </si>
  <si>
    <t>2026-W30</t>
  </si>
  <si>
    <t>2026-W29</t>
  </si>
  <si>
    <t>2026-W28</t>
  </si>
  <si>
    <t>2026-W27</t>
  </si>
  <si>
    <t>2026-W26</t>
  </si>
  <si>
    <t>2026-W25</t>
  </si>
  <si>
    <t>QW</t>
  </si>
  <si>
    <t>GFP</t>
  </si>
  <si>
    <t>Proc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</si>
</sst>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9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E2E8F0"/>
        <bgColor indexed="64"/>
      </patternFill>
    </fill>
    <fill>
      <patternFill patternType="solid">
        <fgColor rgb="FF16A34A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DC2626"/>
        <bgColor indexed="64"/>
      </patternFill>
    </fill>
    <fill>
      <patternFill patternType="solid">
        <fgColor rgb="FF4ADE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9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5" applyNumberFormat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0" fillId="6" borderId="0" xfId="0" applyFill="1"/>
    <xf numFmtId="0" fontId="0" fillId="7" borderId="0" xfId="0" applyFill="1"/>
    <xf numFmtId="0" fontId="3" fillId="2" borderId="0" xfId="0" applyFont="1" applyFill="1" applyAlignment="1">
      <alignment horizontal="center" vertical="center"/>
    </xf>
    <xf numFmtId="0" fontId="4" fillId="0" borderId="0" xfId="0" applyFont="1"/>
    <xf numFmtId="0" fontId="3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8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3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7"/>
  <sheetViews>
    <sheetView tabSelected="1" workbookViewId="0">
      <selection activeCell="M33" sqref="A33:M34"/>
    </sheetView>
  </sheetViews>
  <sheetFormatPr defaultColWidth="9" defaultRowHeight="14.4"/>
  <cols>
    <col min="1" max="1" width="28.1111111111111" customWidth="1"/>
    <col min="2" max="13" width="12.1111111111111" customWidth="1"/>
    <col min="14" max="24" width="15" customWidth="1"/>
  </cols>
  <sheetData>
    <row r="1" s="7" customFormat="1" ht="53" customHeight="1" spans="1:24">
      <c r="A1" s="7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hidden="1" spans="1:24">
      <c r="A2" s="10" t="s">
        <v>24</v>
      </c>
      <c r="B2" s="10">
        <v>30</v>
      </c>
      <c r="C2" s="10">
        <v>119</v>
      </c>
      <c r="D2" s="10">
        <v>113</v>
      </c>
      <c r="E2" s="10">
        <v>83</v>
      </c>
      <c r="F2" s="10">
        <v>44</v>
      </c>
      <c r="G2" s="10">
        <v>7</v>
      </c>
      <c r="H2" s="10">
        <v>77</v>
      </c>
      <c r="I2" s="10">
        <v>76</v>
      </c>
      <c r="J2" s="10">
        <v>67</v>
      </c>
      <c r="K2" s="10">
        <v>80</v>
      </c>
      <c r="L2" s="10">
        <v>105</v>
      </c>
      <c r="M2" s="10">
        <v>74</v>
      </c>
      <c r="N2">
        <v>-89</v>
      </c>
      <c r="O2">
        <v>6</v>
      </c>
      <c r="P2">
        <v>30</v>
      </c>
      <c r="Q2">
        <v>39</v>
      </c>
      <c r="R2">
        <v>37</v>
      </c>
      <c r="S2">
        <v>-70</v>
      </c>
      <c r="T2">
        <v>1</v>
      </c>
      <c r="U2">
        <v>9</v>
      </c>
      <c r="V2">
        <v>-13</v>
      </c>
      <c r="W2">
        <v>-25</v>
      </c>
      <c r="X2">
        <v>31</v>
      </c>
    </row>
    <row r="3" hidden="1" spans="1:24">
      <c r="A3" s="11" t="s">
        <v>25</v>
      </c>
      <c r="B3" s="11">
        <v>3</v>
      </c>
      <c r="C3" s="11">
        <v>0</v>
      </c>
      <c r="D3" s="11">
        <v>2</v>
      </c>
      <c r="E3" s="11">
        <v>2</v>
      </c>
      <c r="F3" s="11">
        <v>24</v>
      </c>
      <c r="G3" s="11">
        <v>0</v>
      </c>
      <c r="H3" s="11">
        <v>13</v>
      </c>
      <c r="I3" s="11">
        <v>5</v>
      </c>
      <c r="J3" s="11">
        <v>0</v>
      </c>
      <c r="K3" s="11">
        <v>30</v>
      </c>
      <c r="L3" s="11">
        <v>45</v>
      </c>
      <c r="M3" s="11">
        <v>8</v>
      </c>
      <c r="N3" s="11">
        <v>3</v>
      </c>
      <c r="O3" s="11">
        <v>-2</v>
      </c>
      <c r="P3" s="11">
        <v>0</v>
      </c>
      <c r="Q3" s="11">
        <v>-22</v>
      </c>
      <c r="R3" s="11">
        <v>24</v>
      </c>
      <c r="S3" s="11">
        <v>-13</v>
      </c>
      <c r="T3" s="11">
        <v>8</v>
      </c>
      <c r="U3" s="11">
        <v>5</v>
      </c>
      <c r="V3" s="11">
        <v>-30</v>
      </c>
      <c r="W3" s="11">
        <v>-15</v>
      </c>
      <c r="X3" s="11">
        <v>37</v>
      </c>
    </row>
    <row r="4" hidden="1" spans="1:24">
      <c r="A4" s="11" t="s">
        <v>26</v>
      </c>
      <c r="B4" s="11">
        <v>0</v>
      </c>
      <c r="C4" s="11">
        <v>15</v>
      </c>
      <c r="D4" s="11">
        <v>1</v>
      </c>
      <c r="E4" s="11">
        <v>0</v>
      </c>
      <c r="F4" s="11">
        <v>18</v>
      </c>
      <c r="G4" s="11">
        <v>0</v>
      </c>
      <c r="H4" s="11">
        <v>11</v>
      </c>
      <c r="I4" s="11">
        <v>17</v>
      </c>
      <c r="J4" s="11">
        <v>9</v>
      </c>
      <c r="K4" s="11">
        <v>4</v>
      </c>
      <c r="L4" s="11">
        <v>52</v>
      </c>
      <c r="M4" s="11">
        <v>52</v>
      </c>
      <c r="N4" s="11">
        <v>-15</v>
      </c>
      <c r="O4" s="11">
        <v>14</v>
      </c>
      <c r="P4" s="11">
        <v>1</v>
      </c>
      <c r="Q4" s="11">
        <v>-18</v>
      </c>
      <c r="R4" s="11">
        <v>18</v>
      </c>
      <c r="S4" s="11">
        <v>-11</v>
      </c>
      <c r="T4" s="11">
        <v>-6</v>
      </c>
      <c r="U4" s="11">
        <v>8</v>
      </c>
      <c r="V4" s="11">
        <v>5</v>
      </c>
      <c r="W4" s="11">
        <v>-48</v>
      </c>
      <c r="X4" s="11">
        <v>0</v>
      </c>
    </row>
    <row r="5" hidden="1" spans="1:24">
      <c r="A5" s="11" t="s">
        <v>27</v>
      </c>
      <c r="B5" s="11">
        <v>0</v>
      </c>
      <c r="C5" s="11">
        <v>0</v>
      </c>
      <c r="D5" s="11">
        <v>1</v>
      </c>
      <c r="E5" s="11">
        <v>0</v>
      </c>
      <c r="F5" s="11">
        <v>0</v>
      </c>
      <c r="G5" s="11">
        <v>0</v>
      </c>
      <c r="H5" s="11">
        <v>2</v>
      </c>
      <c r="I5" s="11">
        <v>3</v>
      </c>
      <c r="J5" s="11">
        <v>1</v>
      </c>
      <c r="K5" s="11">
        <v>0</v>
      </c>
      <c r="L5" s="11">
        <v>0</v>
      </c>
      <c r="M5" s="11">
        <v>0</v>
      </c>
      <c r="N5" s="11">
        <v>0</v>
      </c>
      <c r="O5" s="11">
        <v>-1</v>
      </c>
      <c r="P5" s="11">
        <v>1</v>
      </c>
      <c r="Q5" s="11">
        <v>0</v>
      </c>
      <c r="R5" s="11">
        <v>0</v>
      </c>
      <c r="S5" s="11">
        <v>-2</v>
      </c>
      <c r="T5" s="11">
        <v>-1</v>
      </c>
      <c r="U5" s="11">
        <v>2</v>
      </c>
      <c r="V5" s="11">
        <v>1</v>
      </c>
      <c r="W5" s="11">
        <v>0</v>
      </c>
      <c r="X5" s="11">
        <v>0</v>
      </c>
    </row>
    <row r="6" hidden="1" spans="1:24">
      <c r="A6" s="11" t="s">
        <v>28</v>
      </c>
      <c r="B6" s="11">
        <v>25</v>
      </c>
      <c r="C6" s="11">
        <v>97</v>
      </c>
      <c r="D6" s="11">
        <v>107</v>
      </c>
      <c r="E6" s="11">
        <v>77</v>
      </c>
      <c r="F6" s="11">
        <v>1</v>
      </c>
      <c r="G6" s="11">
        <v>0</v>
      </c>
      <c r="H6" s="11">
        <v>50</v>
      </c>
      <c r="I6" s="11">
        <v>23</v>
      </c>
      <c r="J6" s="11">
        <v>41</v>
      </c>
      <c r="K6" s="11">
        <v>7</v>
      </c>
      <c r="L6" s="11">
        <v>0</v>
      </c>
      <c r="M6" s="11">
        <v>0</v>
      </c>
      <c r="N6" s="11">
        <v>-72</v>
      </c>
      <c r="O6" s="11">
        <v>-10</v>
      </c>
      <c r="P6" s="11">
        <v>30</v>
      </c>
      <c r="Q6" s="11">
        <v>76</v>
      </c>
      <c r="R6" s="11">
        <v>1</v>
      </c>
      <c r="S6" s="11">
        <v>-50</v>
      </c>
      <c r="T6" s="11">
        <v>27</v>
      </c>
      <c r="U6" s="11">
        <v>-18</v>
      </c>
      <c r="V6" s="11">
        <v>34</v>
      </c>
      <c r="W6" s="11">
        <v>7</v>
      </c>
      <c r="X6" s="11">
        <v>0</v>
      </c>
    </row>
    <row r="7" hidden="1" spans="1:24">
      <c r="A7" s="11" t="s">
        <v>29</v>
      </c>
      <c r="B7" s="11">
        <v>0</v>
      </c>
      <c r="C7" s="11">
        <v>3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-3</v>
      </c>
      <c r="O7" s="11">
        <v>3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</row>
    <row r="8" hidden="1" spans="1:24">
      <c r="A8" s="11" t="s">
        <v>30</v>
      </c>
      <c r="B8" s="11">
        <v>2</v>
      </c>
      <c r="C8" s="11">
        <v>4</v>
      </c>
      <c r="D8" s="11">
        <v>2</v>
      </c>
      <c r="E8" s="11">
        <v>4</v>
      </c>
      <c r="F8" s="11">
        <v>1</v>
      </c>
      <c r="G8" s="11">
        <v>7</v>
      </c>
      <c r="H8" s="11">
        <v>1</v>
      </c>
      <c r="I8" s="11">
        <v>28</v>
      </c>
      <c r="J8" s="11">
        <v>16</v>
      </c>
      <c r="K8" s="11">
        <v>31</v>
      </c>
      <c r="L8" s="11">
        <v>3</v>
      </c>
      <c r="M8" s="11">
        <v>10</v>
      </c>
      <c r="N8" s="11">
        <v>-2</v>
      </c>
      <c r="O8" s="11">
        <v>2</v>
      </c>
      <c r="P8" s="11">
        <v>-2</v>
      </c>
      <c r="Q8" s="11">
        <v>3</v>
      </c>
      <c r="R8" s="11">
        <v>-6</v>
      </c>
      <c r="S8" s="11">
        <v>6</v>
      </c>
      <c r="T8" s="11">
        <v>-27</v>
      </c>
      <c r="U8" s="11">
        <v>12</v>
      </c>
      <c r="V8" s="11">
        <v>-15</v>
      </c>
      <c r="W8" s="11">
        <v>28</v>
      </c>
      <c r="X8" s="11">
        <v>-7</v>
      </c>
    </row>
    <row r="9" hidden="1" spans="1:24">
      <c r="A9" s="11" t="s">
        <v>31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8</v>
      </c>
      <c r="L9" s="11">
        <v>5</v>
      </c>
      <c r="M9" s="11">
        <v>4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-8</v>
      </c>
      <c r="W9" s="11">
        <v>3</v>
      </c>
      <c r="X9" s="11">
        <v>1</v>
      </c>
    </row>
    <row r="10" hidden="1" spans="1:24">
      <c r="A10" s="12" t="s">
        <v>32</v>
      </c>
      <c r="B10" s="12">
        <v>0</v>
      </c>
      <c r="C10" s="12">
        <v>8</v>
      </c>
      <c r="D10" s="12">
        <v>19</v>
      </c>
      <c r="E10" s="12">
        <v>18</v>
      </c>
      <c r="F10" s="12">
        <v>35</v>
      </c>
      <c r="G10" s="12">
        <v>0</v>
      </c>
      <c r="H10" s="12">
        <v>46</v>
      </c>
      <c r="I10" s="12">
        <v>46</v>
      </c>
      <c r="J10" s="12">
        <v>49</v>
      </c>
      <c r="K10" s="12">
        <v>37</v>
      </c>
      <c r="L10" s="12">
        <v>22</v>
      </c>
      <c r="M10" s="12">
        <v>0</v>
      </c>
      <c r="N10">
        <v>-8</v>
      </c>
      <c r="O10">
        <v>-11</v>
      </c>
      <c r="P10">
        <v>1</v>
      </c>
      <c r="Q10">
        <v>-17</v>
      </c>
      <c r="R10">
        <v>35</v>
      </c>
      <c r="S10">
        <v>-46</v>
      </c>
      <c r="T10">
        <v>0</v>
      </c>
      <c r="U10">
        <v>-3</v>
      </c>
      <c r="V10">
        <v>12</v>
      </c>
      <c r="W10">
        <v>15</v>
      </c>
      <c r="X10">
        <v>22</v>
      </c>
    </row>
    <row r="11" hidden="1" spans="1:24">
      <c r="A11" s="11" t="s">
        <v>33</v>
      </c>
      <c r="B11" s="11">
        <v>0</v>
      </c>
      <c r="C11" s="11">
        <v>3</v>
      </c>
      <c r="D11" s="11">
        <v>5</v>
      </c>
      <c r="E11" s="11">
        <v>0</v>
      </c>
      <c r="F11" s="11">
        <v>5</v>
      </c>
      <c r="G11" s="11">
        <v>0</v>
      </c>
      <c r="H11" s="11">
        <v>2</v>
      </c>
      <c r="I11" s="11">
        <v>0</v>
      </c>
      <c r="J11" s="11">
        <v>12</v>
      </c>
      <c r="K11" s="11">
        <v>0</v>
      </c>
      <c r="L11" s="11">
        <v>0</v>
      </c>
      <c r="M11" s="11">
        <v>0</v>
      </c>
      <c r="N11" s="11">
        <v>-3</v>
      </c>
      <c r="O11" s="11">
        <v>-2</v>
      </c>
      <c r="P11" s="11">
        <v>5</v>
      </c>
      <c r="Q11" s="11">
        <v>-5</v>
      </c>
      <c r="R11" s="11">
        <v>5</v>
      </c>
      <c r="S11" s="11">
        <v>-2</v>
      </c>
      <c r="T11" s="11">
        <v>2</v>
      </c>
      <c r="U11" s="11">
        <v>-12</v>
      </c>
      <c r="V11" s="11">
        <v>12</v>
      </c>
      <c r="W11" s="11">
        <v>0</v>
      </c>
      <c r="X11" s="11">
        <v>0</v>
      </c>
    </row>
    <row r="12" hidden="1" spans="1:24">
      <c r="A12" s="11" t="s">
        <v>34</v>
      </c>
      <c r="B12" s="11">
        <v>0</v>
      </c>
      <c r="C12" s="11">
        <v>0</v>
      </c>
      <c r="D12" s="11">
        <v>0</v>
      </c>
      <c r="E12" s="11">
        <v>0</v>
      </c>
      <c r="F12" s="11">
        <v>2</v>
      </c>
      <c r="G12" s="11">
        <v>0</v>
      </c>
      <c r="H12" s="11">
        <v>10</v>
      </c>
      <c r="I12" s="11">
        <v>5</v>
      </c>
      <c r="J12" s="11">
        <v>7</v>
      </c>
      <c r="K12" s="11">
        <v>3</v>
      </c>
      <c r="L12" s="11">
        <v>2</v>
      </c>
      <c r="M12" s="11">
        <v>0</v>
      </c>
      <c r="N12" s="11">
        <v>0</v>
      </c>
      <c r="O12" s="11">
        <v>0</v>
      </c>
      <c r="P12" s="11">
        <v>0</v>
      </c>
      <c r="Q12" s="11">
        <v>-2</v>
      </c>
      <c r="R12" s="11">
        <v>2</v>
      </c>
      <c r="S12" s="11">
        <v>-10</v>
      </c>
      <c r="T12" s="11">
        <v>5</v>
      </c>
      <c r="U12" s="11">
        <v>-2</v>
      </c>
      <c r="V12" s="11">
        <v>4</v>
      </c>
      <c r="W12" s="11">
        <v>1</v>
      </c>
      <c r="X12" s="11">
        <v>2</v>
      </c>
    </row>
    <row r="13" hidden="1" spans="1:24">
      <c r="A13" s="11" t="s">
        <v>35</v>
      </c>
      <c r="B13" s="11">
        <v>0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</row>
    <row r="14" hidden="1" spans="1:24">
      <c r="A14" s="11" t="s">
        <v>36</v>
      </c>
      <c r="B14" s="11">
        <v>0</v>
      </c>
      <c r="C14" s="11">
        <v>0</v>
      </c>
      <c r="D14" s="11">
        <v>8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-8</v>
      </c>
      <c r="P14" s="11">
        <v>8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</row>
    <row r="15" hidden="1" spans="1:24">
      <c r="A15" s="11" t="s">
        <v>37</v>
      </c>
      <c r="B15" s="11">
        <v>0</v>
      </c>
      <c r="C15" s="11">
        <v>2</v>
      </c>
      <c r="D15" s="11">
        <v>0</v>
      </c>
      <c r="E15" s="11">
        <v>4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-2</v>
      </c>
      <c r="O15" s="11">
        <v>2</v>
      </c>
      <c r="P15" s="11">
        <v>-4</v>
      </c>
      <c r="Q15" s="11">
        <v>4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</row>
    <row r="16" hidden="1" spans="1:24">
      <c r="A16" s="11" t="s">
        <v>38</v>
      </c>
      <c r="B16" s="11">
        <v>0</v>
      </c>
      <c r="C16" s="11">
        <v>3</v>
      </c>
      <c r="D16" s="11">
        <v>6</v>
      </c>
      <c r="E16" s="11">
        <v>14</v>
      </c>
      <c r="F16" s="11">
        <v>24</v>
      </c>
      <c r="G16" s="11">
        <v>0</v>
      </c>
      <c r="H16" s="11">
        <v>34</v>
      </c>
      <c r="I16" s="11">
        <v>41</v>
      </c>
      <c r="J16" s="11">
        <v>30</v>
      </c>
      <c r="K16" s="11">
        <v>34</v>
      </c>
      <c r="L16" s="11">
        <v>20</v>
      </c>
      <c r="M16" s="11">
        <v>0</v>
      </c>
      <c r="N16" s="11">
        <v>-3</v>
      </c>
      <c r="O16" s="11">
        <v>-3</v>
      </c>
      <c r="P16" s="11">
        <v>-8</v>
      </c>
      <c r="Q16" s="11">
        <v>-10</v>
      </c>
      <c r="R16" s="11">
        <v>24</v>
      </c>
      <c r="S16" s="11">
        <v>-34</v>
      </c>
      <c r="T16" s="11">
        <v>-7</v>
      </c>
      <c r="U16" s="11">
        <v>11</v>
      </c>
      <c r="V16" s="11">
        <v>-4</v>
      </c>
      <c r="W16" s="11">
        <v>14</v>
      </c>
      <c r="X16" s="11">
        <v>20</v>
      </c>
    </row>
    <row r="17" hidden="1" spans="1:24">
      <c r="A17" s="11" t="s">
        <v>39</v>
      </c>
      <c r="B17" s="11">
        <v>0</v>
      </c>
      <c r="C17" s="11">
        <v>0</v>
      </c>
      <c r="D17" s="11">
        <v>0</v>
      </c>
      <c r="E17" s="11">
        <v>0</v>
      </c>
      <c r="F17" s="11">
        <v>4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-4</v>
      </c>
      <c r="R17" s="11">
        <v>4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</row>
    <row r="18" hidden="1" spans="1:24">
      <c r="A18" s="13" t="s">
        <v>40</v>
      </c>
      <c r="B18" s="13">
        <v>11</v>
      </c>
      <c r="C18" s="13">
        <v>39</v>
      </c>
      <c r="D18" s="13">
        <v>32</v>
      </c>
      <c r="E18" s="13">
        <v>51</v>
      </c>
      <c r="F18" s="13">
        <v>37</v>
      </c>
      <c r="G18" s="13">
        <v>12</v>
      </c>
      <c r="H18" s="13">
        <v>55</v>
      </c>
      <c r="I18" s="13">
        <v>58</v>
      </c>
      <c r="J18" s="13">
        <v>55</v>
      </c>
      <c r="K18" s="13">
        <v>60</v>
      </c>
      <c r="L18" s="13">
        <v>32</v>
      </c>
      <c r="M18" s="13">
        <v>103</v>
      </c>
      <c r="N18">
        <v>-28</v>
      </c>
      <c r="O18">
        <v>7</v>
      </c>
      <c r="P18">
        <v>-19</v>
      </c>
      <c r="Q18">
        <v>14</v>
      </c>
      <c r="R18">
        <v>25</v>
      </c>
      <c r="S18">
        <v>-43</v>
      </c>
      <c r="T18">
        <v>-3</v>
      </c>
      <c r="U18">
        <v>3</v>
      </c>
      <c r="V18">
        <v>-5</v>
      </c>
      <c r="W18">
        <v>28</v>
      </c>
      <c r="X18">
        <v>-71</v>
      </c>
    </row>
    <row r="19" hidden="1" spans="1:24">
      <c r="A19" s="11" t="s">
        <v>41</v>
      </c>
      <c r="B19" s="11">
        <v>0</v>
      </c>
      <c r="C19" s="11">
        <v>0</v>
      </c>
      <c r="D19" s="11">
        <v>0</v>
      </c>
      <c r="E19" s="11">
        <v>1</v>
      </c>
      <c r="F19" s="11">
        <v>4</v>
      </c>
      <c r="G19" s="11">
        <v>7</v>
      </c>
      <c r="H19" s="11">
        <v>16</v>
      </c>
      <c r="I19" s="11">
        <v>19</v>
      </c>
      <c r="J19" s="11">
        <v>22</v>
      </c>
      <c r="K19" s="11">
        <v>18</v>
      </c>
      <c r="L19" s="11">
        <v>3</v>
      </c>
      <c r="M19" s="11">
        <v>7</v>
      </c>
      <c r="N19" s="11">
        <v>0</v>
      </c>
      <c r="O19" s="11">
        <v>0</v>
      </c>
      <c r="P19" s="11">
        <v>-1</v>
      </c>
      <c r="Q19" s="11">
        <v>-3</v>
      </c>
      <c r="R19" s="11">
        <v>-3</v>
      </c>
      <c r="S19" s="11">
        <v>-9</v>
      </c>
      <c r="T19" s="11">
        <v>-3</v>
      </c>
      <c r="U19" s="11">
        <v>-3</v>
      </c>
      <c r="V19" s="11">
        <v>4</v>
      </c>
      <c r="W19" s="11">
        <v>15</v>
      </c>
      <c r="X19" s="11">
        <v>-4</v>
      </c>
    </row>
    <row r="20" hidden="1" spans="1:24">
      <c r="A20" s="11" t="s">
        <v>42</v>
      </c>
      <c r="B20" s="11">
        <v>7</v>
      </c>
      <c r="C20" s="11">
        <v>27</v>
      </c>
      <c r="D20" s="11">
        <v>27</v>
      </c>
      <c r="E20" s="11">
        <v>50</v>
      </c>
      <c r="F20" s="11">
        <v>32</v>
      </c>
      <c r="G20" s="11">
        <v>5</v>
      </c>
      <c r="H20" s="11">
        <v>39</v>
      </c>
      <c r="I20" s="11">
        <v>27</v>
      </c>
      <c r="J20" s="11">
        <v>33</v>
      </c>
      <c r="K20" s="11">
        <v>39</v>
      </c>
      <c r="L20" s="11">
        <v>28</v>
      </c>
      <c r="M20" s="11">
        <v>38</v>
      </c>
      <c r="N20" s="11">
        <v>-20</v>
      </c>
      <c r="O20" s="11">
        <v>0</v>
      </c>
      <c r="P20" s="11">
        <v>-23</v>
      </c>
      <c r="Q20" s="11">
        <v>18</v>
      </c>
      <c r="R20" s="11">
        <v>27</v>
      </c>
      <c r="S20" s="11">
        <v>-34</v>
      </c>
      <c r="T20" s="11">
        <v>12</v>
      </c>
      <c r="U20" s="11">
        <v>-6</v>
      </c>
      <c r="V20" s="11">
        <v>-6</v>
      </c>
      <c r="W20" s="11">
        <v>11</v>
      </c>
      <c r="X20" s="11">
        <v>-10</v>
      </c>
    </row>
    <row r="21" hidden="1" spans="1:24">
      <c r="A21" s="11" t="s">
        <v>43</v>
      </c>
      <c r="B21" s="11">
        <v>4</v>
      </c>
      <c r="C21" s="11">
        <v>12</v>
      </c>
      <c r="D21" s="11">
        <v>5</v>
      </c>
      <c r="E21" s="11">
        <v>0</v>
      </c>
      <c r="F21" s="11">
        <v>1</v>
      </c>
      <c r="G21" s="11">
        <v>0</v>
      </c>
      <c r="H21" s="11">
        <v>0</v>
      </c>
      <c r="I21" s="11">
        <v>12</v>
      </c>
      <c r="J21" s="11">
        <v>0</v>
      </c>
      <c r="K21" s="11">
        <v>2</v>
      </c>
      <c r="L21" s="11">
        <v>0</v>
      </c>
      <c r="M21" s="11">
        <v>2</v>
      </c>
      <c r="N21" s="11">
        <v>-8</v>
      </c>
      <c r="O21" s="11">
        <v>7</v>
      </c>
      <c r="P21" s="11">
        <v>5</v>
      </c>
      <c r="Q21" s="11">
        <v>-1</v>
      </c>
      <c r="R21" s="11">
        <v>1</v>
      </c>
      <c r="S21" s="11">
        <v>0</v>
      </c>
      <c r="T21" s="11">
        <v>-12</v>
      </c>
      <c r="U21" s="11">
        <v>12</v>
      </c>
      <c r="V21" s="11">
        <v>-2</v>
      </c>
      <c r="W21" s="11">
        <v>2</v>
      </c>
      <c r="X21" s="11">
        <v>-2</v>
      </c>
    </row>
    <row r="22" hidden="1" spans="1:24">
      <c r="A22" s="11" t="s">
        <v>44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1</v>
      </c>
      <c r="L22" s="11">
        <v>1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-1</v>
      </c>
      <c r="W22" s="11">
        <v>0</v>
      </c>
      <c r="X22" s="11">
        <v>1</v>
      </c>
    </row>
    <row r="23" hidden="1" spans="1:24">
      <c r="A23" s="11" t="s">
        <v>45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56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-56</v>
      </c>
    </row>
    <row r="24" hidden="1" spans="1:24">
      <c r="A24" s="14" t="s">
        <v>46</v>
      </c>
      <c r="B24" s="14">
        <v>24</v>
      </c>
      <c r="C24" s="14">
        <v>70</v>
      </c>
      <c r="D24" s="14">
        <v>68</v>
      </c>
      <c r="E24" s="14">
        <v>78</v>
      </c>
      <c r="F24" s="14">
        <v>134</v>
      </c>
      <c r="G24" s="14">
        <v>219</v>
      </c>
      <c r="H24" s="14">
        <v>60</v>
      </c>
      <c r="I24" s="14">
        <v>58</v>
      </c>
      <c r="J24" s="14">
        <v>64</v>
      </c>
      <c r="K24" s="14">
        <v>59</v>
      </c>
      <c r="L24" s="14">
        <v>78</v>
      </c>
      <c r="M24" s="14">
        <v>61</v>
      </c>
      <c r="N24">
        <v>-46</v>
      </c>
      <c r="O24">
        <v>2</v>
      </c>
      <c r="P24">
        <v>-10</v>
      </c>
      <c r="Q24">
        <v>-56</v>
      </c>
      <c r="R24">
        <v>-85</v>
      </c>
      <c r="S24">
        <v>159</v>
      </c>
      <c r="T24">
        <v>2</v>
      </c>
      <c r="U24">
        <v>-6</v>
      </c>
      <c r="V24">
        <v>5</v>
      </c>
      <c r="W24">
        <v>-19</v>
      </c>
      <c r="X24">
        <v>17</v>
      </c>
    </row>
    <row r="25" s="8" customFormat="1" hidden="1" spans="1:24">
      <c r="A25" s="15" t="s">
        <v>47</v>
      </c>
      <c r="B25" s="15">
        <v>0</v>
      </c>
      <c r="C25" s="15">
        <v>2</v>
      </c>
      <c r="D25" s="15">
        <v>6</v>
      </c>
      <c r="E25" s="15">
        <v>8</v>
      </c>
      <c r="F25" s="15">
        <v>0</v>
      </c>
      <c r="G25" s="15">
        <v>0</v>
      </c>
      <c r="H25" s="15">
        <v>0</v>
      </c>
      <c r="I25" s="15">
        <v>0</v>
      </c>
      <c r="J25" s="15">
        <v>3</v>
      </c>
      <c r="K25" s="15">
        <v>2</v>
      </c>
      <c r="L25" s="15">
        <v>1</v>
      </c>
      <c r="M25" s="15">
        <v>0</v>
      </c>
      <c r="N25" s="8">
        <v>-2</v>
      </c>
      <c r="O25" s="8">
        <v>-4</v>
      </c>
      <c r="P25" s="8">
        <v>-2</v>
      </c>
      <c r="Q25" s="8">
        <v>8</v>
      </c>
      <c r="R25" s="8">
        <v>0</v>
      </c>
      <c r="S25" s="8">
        <v>0</v>
      </c>
      <c r="T25" s="8">
        <v>0</v>
      </c>
      <c r="U25" s="8">
        <v>-3</v>
      </c>
      <c r="V25" s="8">
        <v>1</v>
      </c>
      <c r="W25" s="8">
        <v>1</v>
      </c>
      <c r="X25" s="8">
        <v>1</v>
      </c>
    </row>
    <row r="27" customFormat="1" spans="1:24">
      <c r="A27" s="10" t="s">
        <v>24</v>
      </c>
      <c r="B27" s="16">
        <f>B2</f>
        <v>30</v>
      </c>
      <c r="C27" s="16">
        <f t="shared" ref="C27:M27" si="0">C2</f>
        <v>119</v>
      </c>
      <c r="D27" s="16">
        <f t="shared" si="0"/>
        <v>113</v>
      </c>
      <c r="E27" s="16">
        <f t="shared" si="0"/>
        <v>83</v>
      </c>
      <c r="F27" s="16">
        <f t="shared" si="0"/>
        <v>44</v>
      </c>
      <c r="G27" s="16">
        <f t="shared" si="0"/>
        <v>7</v>
      </c>
      <c r="H27" s="16">
        <f t="shared" si="0"/>
        <v>77</v>
      </c>
      <c r="I27" s="16">
        <f t="shared" si="0"/>
        <v>76</v>
      </c>
      <c r="J27" s="16">
        <f t="shared" si="0"/>
        <v>67</v>
      </c>
      <c r="K27" s="16">
        <f t="shared" si="0"/>
        <v>80</v>
      </c>
      <c r="L27" s="16">
        <f t="shared" si="0"/>
        <v>105</v>
      </c>
      <c r="M27" s="16">
        <f t="shared" si="0"/>
        <v>74</v>
      </c>
    </row>
    <row r="28" customFormat="1" spans="1:24">
      <c r="A28" s="12" t="s">
        <v>32</v>
      </c>
      <c r="B28" s="17">
        <f>B10</f>
        <v>0</v>
      </c>
      <c r="C28" s="17">
        <f t="shared" ref="C28:M28" si="1">C10</f>
        <v>8</v>
      </c>
      <c r="D28" s="17">
        <f t="shared" si="1"/>
        <v>19</v>
      </c>
      <c r="E28" s="17">
        <f t="shared" si="1"/>
        <v>18</v>
      </c>
      <c r="F28" s="17">
        <f t="shared" si="1"/>
        <v>35</v>
      </c>
      <c r="G28" s="17">
        <f t="shared" si="1"/>
        <v>0</v>
      </c>
      <c r="H28" s="17">
        <f t="shared" si="1"/>
        <v>46</v>
      </c>
      <c r="I28" s="17">
        <f t="shared" si="1"/>
        <v>46</v>
      </c>
      <c r="J28" s="17">
        <f t="shared" si="1"/>
        <v>49</v>
      </c>
      <c r="K28" s="17">
        <f t="shared" si="1"/>
        <v>37</v>
      </c>
      <c r="L28" s="17">
        <f t="shared" si="1"/>
        <v>22</v>
      </c>
      <c r="M28" s="17">
        <f t="shared" si="1"/>
        <v>0</v>
      </c>
    </row>
    <row r="29" spans="1:24">
      <c r="A29" s="13" t="s">
        <v>40</v>
      </c>
      <c r="B29" s="18">
        <v>11</v>
      </c>
      <c r="C29" s="18">
        <v>39</v>
      </c>
      <c r="D29" s="18">
        <v>32</v>
      </c>
      <c r="E29" s="18">
        <v>51</v>
      </c>
      <c r="F29" s="18">
        <v>37</v>
      </c>
      <c r="G29" s="18">
        <v>12</v>
      </c>
      <c r="H29" s="18">
        <v>55</v>
      </c>
      <c r="I29" s="18">
        <v>58</v>
      </c>
      <c r="J29" s="18">
        <v>55</v>
      </c>
      <c r="K29" s="18">
        <v>60</v>
      </c>
      <c r="L29" s="18">
        <v>32</v>
      </c>
      <c r="M29" s="18">
        <v>103</v>
      </c>
      <c r="N29">
        <v>-28</v>
      </c>
      <c r="O29">
        <v>7</v>
      </c>
      <c r="P29">
        <v>-19</v>
      </c>
      <c r="Q29">
        <v>14</v>
      </c>
      <c r="R29">
        <v>25</v>
      </c>
      <c r="S29">
        <v>-43</v>
      </c>
      <c r="T29">
        <v>-3</v>
      </c>
      <c r="U29">
        <v>3</v>
      </c>
      <c r="V29">
        <v>-5</v>
      </c>
      <c r="W29">
        <v>28</v>
      </c>
      <c r="X29">
        <v>-71</v>
      </c>
    </row>
    <row r="30" spans="1:24">
      <c r="A30" s="14" t="s">
        <v>46</v>
      </c>
      <c r="B30" s="19">
        <v>24</v>
      </c>
      <c r="C30" s="19">
        <v>70</v>
      </c>
      <c r="D30" s="19">
        <v>68</v>
      </c>
      <c r="E30" s="19">
        <v>78</v>
      </c>
      <c r="F30" s="19">
        <v>134</v>
      </c>
      <c r="G30" s="19">
        <v>219</v>
      </c>
      <c r="H30" s="19">
        <v>60</v>
      </c>
      <c r="I30" s="19">
        <v>58</v>
      </c>
      <c r="J30" s="19">
        <v>64</v>
      </c>
      <c r="K30" s="19">
        <v>59</v>
      </c>
      <c r="L30" s="19">
        <v>78</v>
      </c>
      <c r="M30" s="19">
        <v>61</v>
      </c>
      <c r="N30">
        <v>-46</v>
      </c>
      <c r="O30">
        <v>2</v>
      </c>
      <c r="P30">
        <v>-10</v>
      </c>
      <c r="Q30">
        <v>-56</v>
      </c>
      <c r="R30">
        <v>-85</v>
      </c>
      <c r="S30">
        <v>159</v>
      </c>
      <c r="T30">
        <v>2</v>
      </c>
      <c r="U30">
        <v>-6</v>
      </c>
      <c r="V30">
        <v>5</v>
      </c>
      <c r="W30">
        <v>-19</v>
      </c>
      <c r="X30">
        <v>17</v>
      </c>
    </row>
    <row r="31" s="8" customFormat="1" spans="1:24">
      <c r="A31" s="15" t="s">
        <v>47</v>
      </c>
      <c r="B31" s="20">
        <v>0</v>
      </c>
      <c r="C31" s="20">
        <v>2</v>
      </c>
      <c r="D31" s="20">
        <v>6</v>
      </c>
      <c r="E31" s="20">
        <v>8</v>
      </c>
      <c r="F31" s="20">
        <v>0</v>
      </c>
      <c r="G31" s="20">
        <v>0</v>
      </c>
      <c r="H31" s="20">
        <v>0</v>
      </c>
      <c r="I31" s="20">
        <v>0</v>
      </c>
      <c r="J31" s="20">
        <v>3</v>
      </c>
      <c r="K31" s="20">
        <v>2</v>
      </c>
      <c r="L31" s="20">
        <v>1</v>
      </c>
      <c r="M31" s="20">
        <v>0</v>
      </c>
      <c r="N31" s="8">
        <v>-2</v>
      </c>
      <c r="O31" s="8">
        <v>-4</v>
      </c>
      <c r="P31" s="8">
        <v>-2</v>
      </c>
      <c r="Q31" s="8">
        <v>8</v>
      </c>
      <c r="R31" s="8">
        <v>0</v>
      </c>
      <c r="S31" s="8">
        <v>0</v>
      </c>
      <c r="T31" s="8">
        <v>0</v>
      </c>
      <c r="U31" s="8">
        <v>-3</v>
      </c>
      <c r="V31" s="8">
        <v>1</v>
      </c>
      <c r="W31" s="8">
        <v>1</v>
      </c>
      <c r="X31" s="8">
        <v>1</v>
      </c>
    </row>
    <row r="32" customFormat="1" spans="1:24">
      <c r="A32" s="21" t="s">
        <v>48</v>
      </c>
      <c r="B32" s="22">
        <f>SUM(B27:B31)</f>
        <v>65</v>
      </c>
      <c r="C32" s="22">
        <f t="shared" ref="C32:M32" si="2">SUM(C27:C31)</f>
        <v>238</v>
      </c>
      <c r="D32" s="22">
        <f t="shared" si="2"/>
        <v>238</v>
      </c>
      <c r="E32" s="22">
        <f t="shared" si="2"/>
        <v>238</v>
      </c>
      <c r="F32" s="22">
        <f t="shared" si="2"/>
        <v>250</v>
      </c>
      <c r="G32" s="22">
        <f t="shared" si="2"/>
        <v>238</v>
      </c>
      <c r="H32" s="22">
        <f t="shared" si="2"/>
        <v>238</v>
      </c>
      <c r="I32" s="22">
        <f t="shared" si="2"/>
        <v>238</v>
      </c>
      <c r="J32" s="22">
        <f t="shared" si="2"/>
        <v>238</v>
      </c>
      <c r="K32" s="22">
        <f t="shared" si="2"/>
        <v>238</v>
      </c>
      <c r="L32" s="22">
        <f t="shared" si="2"/>
        <v>238</v>
      </c>
      <c r="M32" s="22">
        <f t="shared" si="2"/>
        <v>238</v>
      </c>
    </row>
    <row r="33" spans="1:13">
      <c r="A33" s="21" t="s">
        <v>49</v>
      </c>
      <c r="B33" s="23"/>
      <c r="C33" s="24">
        <f>C27+C28</f>
        <v>127</v>
      </c>
      <c r="D33" s="24">
        <f t="shared" ref="D33:M33" si="3">D27+D28</f>
        <v>132</v>
      </c>
      <c r="E33" s="24">
        <f t="shared" si="3"/>
        <v>101</v>
      </c>
      <c r="F33" s="24">
        <f t="shared" si="3"/>
        <v>79</v>
      </c>
      <c r="G33" s="24">
        <f t="shared" si="3"/>
        <v>7</v>
      </c>
      <c r="H33" s="24">
        <f t="shared" si="3"/>
        <v>123</v>
      </c>
      <c r="I33" s="24">
        <f t="shared" si="3"/>
        <v>122</v>
      </c>
      <c r="J33" s="24">
        <f t="shared" si="3"/>
        <v>116</v>
      </c>
      <c r="K33" s="24">
        <f t="shared" si="3"/>
        <v>117</v>
      </c>
      <c r="L33" s="24">
        <f t="shared" si="3"/>
        <v>127</v>
      </c>
      <c r="M33" s="24">
        <f t="shared" si="3"/>
        <v>74</v>
      </c>
    </row>
    <row r="34" spans="1:13">
      <c r="A34" s="21" t="s">
        <v>50</v>
      </c>
      <c r="B34" s="23"/>
      <c r="C34" s="25">
        <f>C29</f>
        <v>39</v>
      </c>
      <c r="D34" s="25">
        <f t="shared" ref="D34:M34" si="4">D29</f>
        <v>32</v>
      </c>
      <c r="E34" s="25">
        <f t="shared" si="4"/>
        <v>51</v>
      </c>
      <c r="F34" s="25">
        <f t="shared" si="4"/>
        <v>37</v>
      </c>
      <c r="G34" s="25">
        <f t="shared" si="4"/>
        <v>12</v>
      </c>
      <c r="H34" s="25">
        <f t="shared" si="4"/>
        <v>55</v>
      </c>
      <c r="I34" s="25">
        <f t="shared" si="4"/>
        <v>58</v>
      </c>
      <c r="J34" s="25">
        <f t="shared" si="4"/>
        <v>55</v>
      </c>
      <c r="K34" s="25">
        <f t="shared" si="4"/>
        <v>60</v>
      </c>
      <c r="L34" s="25">
        <f t="shared" si="4"/>
        <v>32</v>
      </c>
      <c r="M34" s="25">
        <f t="shared" si="4"/>
        <v>103</v>
      </c>
    </row>
    <row r="35" spans="1:13">
      <c r="A35" s="21" t="s">
        <v>51</v>
      </c>
      <c r="B35" s="23"/>
      <c r="C35" s="24">
        <f>C30</f>
        <v>70</v>
      </c>
      <c r="D35" s="24">
        <f t="shared" ref="D35:M35" si="5">D30</f>
        <v>68</v>
      </c>
      <c r="E35" s="24">
        <f t="shared" si="5"/>
        <v>78</v>
      </c>
      <c r="F35" s="24">
        <f t="shared" si="5"/>
        <v>134</v>
      </c>
      <c r="G35" s="24">
        <f t="shared" si="5"/>
        <v>219</v>
      </c>
      <c r="H35" s="24">
        <f t="shared" si="5"/>
        <v>60</v>
      </c>
      <c r="I35" s="24">
        <f t="shared" si="5"/>
        <v>58</v>
      </c>
      <c r="J35" s="24">
        <f t="shared" si="5"/>
        <v>64</v>
      </c>
      <c r="K35" s="24">
        <f t="shared" si="5"/>
        <v>59</v>
      </c>
      <c r="L35" s="24">
        <f t="shared" si="5"/>
        <v>78</v>
      </c>
      <c r="M35" s="24">
        <f t="shared" si="5"/>
        <v>61</v>
      </c>
    </row>
    <row r="36" spans="1:13">
      <c r="A36" s="21" t="s">
        <v>52</v>
      </c>
    </row>
    <row r="37" spans="1:13">
      <c r="C37" s="26">
        <f>C33/C32</f>
        <v>0.533613445378151</v>
      </c>
      <c r="D37" s="26">
        <f t="shared" ref="D37:M37" si="6">D33/D32</f>
        <v>0.554621848739496</v>
      </c>
      <c r="E37" s="26">
        <f t="shared" si="6"/>
        <v>0.42436974789916</v>
      </c>
      <c r="F37" s="26">
        <f t="shared" si="6"/>
        <v>0.316</v>
      </c>
      <c r="G37" s="26">
        <f t="shared" si="6"/>
        <v>0.0294117647058824</v>
      </c>
      <c r="H37" s="26">
        <f t="shared" si="6"/>
        <v>0.516806722689076</v>
      </c>
      <c r="I37" s="26">
        <f t="shared" si="6"/>
        <v>0.512605042016807</v>
      </c>
      <c r="J37" s="26">
        <f t="shared" si="6"/>
        <v>0.487394957983193</v>
      </c>
      <c r="K37" s="26">
        <f t="shared" si="6"/>
        <v>0.491596638655462</v>
      </c>
      <c r="L37" s="26">
        <f t="shared" si="6"/>
        <v>0.533613445378151</v>
      </c>
      <c r="M37" s="26">
        <f t="shared" si="6"/>
        <v>0.310924369747899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workbookViewId="0">
      <selection activeCell="A1" sqref="A1"/>
    </sheetView>
  </sheetViews>
  <sheetFormatPr defaultColWidth="9" defaultRowHeight="14.4" outlineLevelRow="5"/>
  <cols>
    <col min="1" max="1" width="15" customWidth="1"/>
    <col min="2" max="13" width="12" customWidth="1"/>
  </cols>
  <sheetData>
    <row r="1" spans="1:13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</row>
    <row r="2" spans="1:13">
      <c r="A2" s="2" t="s">
        <v>66</v>
      </c>
      <c r="B2" s="2">
        <v>30</v>
      </c>
      <c r="C2" s="2">
        <v>119</v>
      </c>
      <c r="D2" s="2">
        <v>113</v>
      </c>
      <c r="E2" s="2">
        <v>83</v>
      </c>
      <c r="F2" s="2">
        <v>44</v>
      </c>
      <c r="G2" s="2">
        <v>7</v>
      </c>
      <c r="H2" s="2">
        <v>77</v>
      </c>
      <c r="I2" s="2">
        <v>76</v>
      </c>
      <c r="J2" s="2">
        <v>67</v>
      </c>
      <c r="K2" s="2">
        <v>80</v>
      </c>
      <c r="L2" s="2">
        <v>105</v>
      </c>
      <c r="M2" s="2">
        <v>74</v>
      </c>
    </row>
    <row r="3" spans="1:13">
      <c r="A3" s="3" t="s">
        <v>67</v>
      </c>
      <c r="B3" s="3">
        <v>0</v>
      </c>
      <c r="C3" s="3">
        <v>8</v>
      </c>
      <c r="D3" s="3">
        <v>19</v>
      </c>
      <c r="E3" s="3">
        <v>18</v>
      </c>
      <c r="F3" s="3">
        <v>35</v>
      </c>
      <c r="G3" s="3">
        <v>0</v>
      </c>
      <c r="H3" s="3">
        <v>46</v>
      </c>
      <c r="I3" s="3">
        <v>46</v>
      </c>
      <c r="J3" s="3">
        <v>49</v>
      </c>
      <c r="K3" s="3">
        <v>37</v>
      </c>
      <c r="L3" s="3">
        <v>22</v>
      </c>
      <c r="M3" s="3">
        <v>0</v>
      </c>
    </row>
    <row r="4" spans="1:13">
      <c r="A4" s="4" t="s">
        <v>68</v>
      </c>
      <c r="B4" s="4">
        <v>11</v>
      </c>
      <c r="C4" s="4">
        <v>39</v>
      </c>
      <c r="D4" s="4">
        <v>32</v>
      </c>
      <c r="E4" s="4">
        <v>51</v>
      </c>
      <c r="F4" s="4">
        <v>37</v>
      </c>
      <c r="G4" s="4">
        <v>12</v>
      </c>
      <c r="H4" s="4">
        <v>55</v>
      </c>
      <c r="I4" s="4">
        <v>58</v>
      </c>
      <c r="J4" s="4">
        <v>55</v>
      </c>
      <c r="K4" s="4">
        <v>60</v>
      </c>
      <c r="L4" s="4">
        <v>32</v>
      </c>
      <c r="M4" s="4">
        <v>103</v>
      </c>
    </row>
    <row r="5" spans="1:13">
      <c r="A5" s="5" t="s">
        <v>46</v>
      </c>
      <c r="B5" s="5">
        <v>24</v>
      </c>
      <c r="C5" s="5">
        <v>70</v>
      </c>
      <c r="D5" s="5">
        <v>68</v>
      </c>
      <c r="E5" s="5">
        <v>78</v>
      </c>
      <c r="F5" s="5">
        <v>134</v>
      </c>
      <c r="G5" s="5">
        <v>219</v>
      </c>
      <c r="H5" s="5">
        <v>60</v>
      </c>
      <c r="I5" s="5">
        <v>58</v>
      </c>
      <c r="J5" s="5">
        <v>64</v>
      </c>
      <c r="K5" s="5">
        <v>59</v>
      </c>
      <c r="L5" s="5">
        <v>78</v>
      </c>
      <c r="M5" s="5">
        <v>61</v>
      </c>
    </row>
    <row r="6" spans="1:13">
      <c r="A6" s="6" t="s">
        <v>47</v>
      </c>
      <c r="B6" s="6">
        <v>0</v>
      </c>
      <c r="C6" s="6">
        <v>2</v>
      </c>
      <c r="D6" s="6">
        <v>6</v>
      </c>
      <c r="E6" s="6">
        <v>8</v>
      </c>
      <c r="F6" s="6">
        <v>0</v>
      </c>
      <c r="G6" s="6">
        <v>0</v>
      </c>
      <c r="H6" s="6">
        <v>0</v>
      </c>
      <c r="I6" s="6">
        <v>0</v>
      </c>
      <c r="J6" s="6">
        <v>3</v>
      </c>
      <c r="K6" s="6">
        <v>2</v>
      </c>
      <c r="L6" s="6">
        <v>1</v>
      </c>
      <c r="M6" s="6">
        <v>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周数据对比</vt:lpstr>
      <vt:lpstr>趋势图表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Kobe Stefanie</cp:lastModifiedBy>
  <dcterms:created xsi:type="dcterms:W3CDTF">2026-09-01T16:43:00Z</dcterms:created>
  <dcterms:modified xsi:type="dcterms:W3CDTF">2026-09-01T17:59:43Z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1907E9A474874FB6B2E7B6E21FEF8E8F_12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